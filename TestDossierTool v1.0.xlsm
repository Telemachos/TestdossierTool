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375" yWindow="180" windowWidth="19020" windowHeight="7965" tabRatio="802" activeTab="10"/>
  </bookViews>
  <sheets>
    <sheet name="Basis" sheetId="5" r:id="rId1"/>
    <sheet name="Algemeen" sheetId="17" r:id="rId2"/>
    <sheet name="EVT" sheetId="4" r:id="rId3"/>
    <sheet name="TestGraaf" sheetId="27" r:id="rId4"/>
    <sheet name="LTG" sheetId="9" r:id="rId5"/>
    <sheet name="FTG" sheetId="10" r:id="rId6"/>
    <sheet name="DOD" sheetId="30" r:id="rId7"/>
    <sheet name="Bevindingen" sheetId="16" r:id="rId8"/>
    <sheet name="Metrieken" sheetId="18" state="hidden" r:id="rId9"/>
    <sheet name="Rapport" sheetId="14" r:id="rId10"/>
    <sheet name="Handleiding" sheetId="33" r:id="rId11"/>
    <sheet name="Analyse" sheetId="25" state="hidden" r:id="rId12"/>
    <sheet name="Versie" sheetId="12" state="hidden" r:id="rId13"/>
  </sheets>
  <definedNames>
    <definedName name="_xlnm._FilterDatabase" localSheetId="5" hidden="1">FTG!$B$8:$H$9</definedName>
    <definedName name="_xlnm.Print_Area" localSheetId="10">Handleiding!$B$4:$D$164</definedName>
  </definedNames>
  <calcPr calcId="145621" calcMode="manual"/>
  <pivotCaches>
    <pivotCache cacheId="0" r:id="rId14"/>
    <pivotCache cacheId="1" r:id="rId15"/>
    <pivotCache cacheId="2" r:id="rId16"/>
  </pivotCaches>
</workbook>
</file>

<file path=xl/calcChain.xml><?xml version="1.0" encoding="utf-8"?>
<calcChain xmlns="http://schemas.openxmlformats.org/spreadsheetml/2006/main">
  <c r="F12" i="30" l="1"/>
  <c r="F11" i="30"/>
  <c r="F10" i="30"/>
  <c r="C5" i="17" l="1"/>
  <c r="F9" i="30" l="1"/>
  <c r="F8" i="30"/>
  <c r="L12" i="25" l="1"/>
  <c r="L10" i="25"/>
  <c r="K11" i="25"/>
  <c r="L11" i="25"/>
  <c r="K10" i="25"/>
  <c r="K12" i="25"/>
  <c r="K13" i="25" l="1"/>
  <c r="L13" i="25"/>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27" authorId="0">
      <text>
        <r>
          <rPr>
            <sz val="9"/>
            <color indexed="81"/>
            <rFont val="Tahoma"/>
            <family val="2"/>
          </rPr>
          <t xml:space="preserve">Voeg een cijfer in voor de testmaatregel die geinsert moet worden.
</t>
        </r>
      </text>
    </comment>
    <comment ref="C27" authorId="1">
      <text>
        <r>
          <rPr>
            <sz val="12"/>
            <color indexed="81"/>
            <rFont val="Tahoma"/>
            <family val="2"/>
          </rPr>
          <t>Nummer van E1 t/m En waarbij n aantal regels is</t>
        </r>
      </text>
    </comment>
    <comment ref="D27" authorId="1">
      <text>
        <r>
          <rPr>
            <sz val="12"/>
            <color indexed="81"/>
            <rFont val="Tahoma"/>
            <family val="2"/>
          </rPr>
          <t>-Inhoud kan "en", "of" of "c" zijn.
-Wordt als "en" beschouwd als dit veld leeg blijft</t>
        </r>
      </text>
    </comment>
    <comment ref="E27" authorId="1">
      <text>
        <r>
          <rPr>
            <sz val="12"/>
            <color indexed="81"/>
            <rFont val="Tahoma"/>
            <family val="2"/>
          </rPr>
          <t xml:space="preserve">Verwijs hier naar situaties of naar een andere regel in de tabel. Scheidt verwijzing door een komma teken. Wordt dus bijvoorbeeld: "S1,S5,S8"
</t>
        </r>
      </text>
    </comment>
    <comment ref="F27" authorId="1">
      <text>
        <r>
          <rPr>
            <sz val="12"/>
            <color indexed="81"/>
            <rFont val="Tahoma"/>
            <family val="2"/>
          </rPr>
          <t>Actie code(s) uit de actie tabel.</t>
        </r>
      </text>
    </comment>
    <comment ref="G27" authorId="1">
      <text>
        <r>
          <rPr>
            <sz val="12"/>
            <color indexed="81"/>
            <rFont val="Tahoma"/>
            <family val="2"/>
          </rPr>
          <t>Actie code(s) uit de actie tabel.</t>
        </r>
      </text>
    </comment>
    <comment ref="A35" authorId="0">
      <text>
        <r>
          <rPr>
            <sz val="9"/>
            <color indexed="81"/>
            <rFont val="Tahoma"/>
            <family val="2"/>
          </rPr>
          <t xml:space="preserve">Voeg een cijfer in voor de actie die geinsert moet worden.
</t>
        </r>
      </text>
    </comment>
    <comment ref="C35"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31" authorId="0">
      <text>
        <r>
          <rPr>
            <sz val="9"/>
            <color indexed="81"/>
            <rFont val="Tahoma"/>
            <family val="2"/>
          </rPr>
          <t xml:space="preserve">Voeg een cijfer in voor de flow regel die geinsert moet worden.
</t>
        </r>
      </text>
    </comment>
    <comment ref="C31" authorId="1">
      <text>
        <r>
          <rPr>
            <sz val="12"/>
            <color indexed="81"/>
            <rFont val="Tahoma"/>
            <family val="2"/>
          </rPr>
          <t>Nummer van 1 t/m n waarbij n aantal regels is</t>
        </r>
      </text>
    </comment>
    <comment ref="D31"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31" authorId="1">
      <text>
        <r>
          <rPr>
            <sz val="12"/>
            <color indexed="81"/>
            <rFont val="Tahoma"/>
            <family val="2"/>
          </rPr>
          <t>De conditie waar een pad uitkomt, bijvoorbeeld "C3".</t>
        </r>
      </text>
    </comment>
    <comment ref="A37" authorId="0">
      <text>
        <r>
          <rPr>
            <sz val="9"/>
            <color indexed="81"/>
            <rFont val="Tahoma"/>
            <family val="2"/>
          </rPr>
          <t xml:space="preserve">Voeg een cijfer in voor de testmaatregel die geinsert moet worden.
</t>
        </r>
      </text>
    </comment>
    <comment ref="C37" authorId="1">
      <text>
        <r>
          <rPr>
            <sz val="12"/>
            <color indexed="81"/>
            <rFont val="Tahoma"/>
            <family val="2"/>
          </rPr>
          <t>Tabel voor invoeren conditie combinaties</t>
        </r>
      </text>
    </comment>
    <comment ref="D37" authorId="1">
      <text>
        <r>
          <rPr>
            <sz val="12"/>
            <color indexed="81"/>
            <rFont val="Tahoma"/>
            <family val="2"/>
          </rPr>
          <t xml:space="preserve">Verwijs hier naar een of meerdere condities Scheidt verwijzing door een komma teken. Bijvoorbeeld: "C2,C3"
</t>
        </r>
      </text>
    </comment>
    <comment ref="E37" authorId="1">
      <text>
        <r>
          <rPr>
            <sz val="12"/>
            <color indexed="81"/>
            <rFont val="Tahoma"/>
            <family val="2"/>
          </rPr>
          <t>De conditie waarmee gecombineerd moet worden. Laat leeg als condities uit vorige kolom met elkaar gecombineerd moeten worden. 
Bijv: "C1" of ""</t>
        </r>
      </text>
    </comment>
    <comment ref="F37" authorId="1">
      <text>
        <r>
          <rPr>
            <sz val="10"/>
            <color indexed="81"/>
            <rFont val="Tahoma"/>
            <family val="2"/>
          </rPr>
          <t>"N" of Leeg: Als combinaties van deze regel met de testgraaf-flow conflicteren wordt de regel genegeerd
"Y": combinaties worden in de flow gestopt ongeacht of ze conflicteren met de testgraaf flow
"S": Alleen combinaties die met de flow conflicteren worden overgeslagen</t>
        </r>
      </text>
    </comment>
    <comment ref="A41" authorId="0">
      <text>
        <r>
          <rPr>
            <sz val="9"/>
            <color indexed="81"/>
            <rFont val="Tahoma"/>
            <family val="2"/>
          </rPr>
          <t xml:space="preserve">Voeg een cijfer in voor de actie die geinsert moet worden.
</t>
        </r>
      </text>
    </comment>
    <comment ref="C41" authorId="1">
      <text>
        <r>
          <rPr>
            <sz val="12"/>
            <color indexed="81"/>
            <rFont val="Tahoma"/>
            <family val="2"/>
          </rPr>
          <t>Nr van de actie met code A1 t/m An, waarbij n aantal acties is</t>
        </r>
      </text>
    </comment>
    <comment ref="E41"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t>
        </r>
      </text>
    </comment>
  </commentList>
</comments>
</file>

<file path=xl/sharedStrings.xml><?xml version="1.0" encoding="utf-8"?>
<sst xmlns="http://schemas.openxmlformats.org/spreadsheetml/2006/main" count="827" uniqueCount="352">
  <si>
    <t>A1</t>
  </si>
  <si>
    <t>A2</t>
  </si>
  <si>
    <t>Dan</t>
  </si>
  <si>
    <t>Anders</t>
  </si>
  <si>
    <t>Y</t>
  </si>
  <si>
    <t>N</t>
  </si>
  <si>
    <t>Type</t>
  </si>
  <si>
    <t>Actie</t>
  </si>
  <si>
    <t>Nr</t>
  </si>
  <si>
    <t>Parameters</t>
  </si>
  <si>
    <t>C2.1</t>
  </si>
  <si>
    <t>C3.1</t>
  </si>
  <si>
    <t>C3.2</t>
  </si>
  <si>
    <t>Soort</t>
  </si>
  <si>
    <t>Exclusief</t>
  </si>
  <si>
    <t>Inclusief_pos</t>
  </si>
  <si>
    <t>Inclusief_neg</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</si>
  <si>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</si>
  <si>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</si>
  <si>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</si>
  <si>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</si>
  <si>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</si>
  <si>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</si>
  <si>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</si>
  <si>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</si>
  <si>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</si>
  <si>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</si>
  <si>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</si>
  <si>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</si>
  <si>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</si>
  <si>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</si>
  <si>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</si>
  <si>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</si>
  <si>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</si>
  <si>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</si>
  <si>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</si>
  <si>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</si>
  <si>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</si>
  <si>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</si>
  <si>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</si>
  <si>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</si>
  <si>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</si>
  <si>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</si>
  <si>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</si>
  <si>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</si>
  <si>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</si>
  <si>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</si>
  <si>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</si>
  <si>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</si>
  <si>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een beknopte omschrijving in van de actie in kolom &lt;omschrijving&gt;.</t>
  </si>
  <si>
    <t>Geef regels die in de tabel ingevuld worden oplopende nrs in de &lt;Nr&gt; kolom, van 1 tot n, waar n is het totaal aantal regels.</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</si>
  <si>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</si>
  <si>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</si>
  <si>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</si>
  <si>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</si>
  <si>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</si>
  <si>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</si>
  <si>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</si>
  <si>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</si>
  <si>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</si>
  <si>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</si>
  <si>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</si>
  <si>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</si>
  <si>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</si>
  <si>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</si>
  <si>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</si>
  <si>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</si>
  <si>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</si>
  <si>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</si>
  <si>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</si>
  <si>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</si>
  <si>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</si>
  <si>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</si>
  <si>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</si>
  <si>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</si>
  <si>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</si>
  <si>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</si>
  <si>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</si>
  <si>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</si>
  <si>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</si>
  <si>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</si>
  <si>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</si>
  <si>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</si>
  <si>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</si>
  <si>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</si>
  <si>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</si>
  <si>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</si>
  <si>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(Meerdere items)</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</si>
  <si>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</si>
  <si>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</si>
  <si>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</si>
  <si>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</si>
  <si>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</si>
  <si>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</si>
  <si>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</si>
  <si>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</si>
  <si>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</si>
  <si>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</si>
  <si>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</si>
  <si>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</si>
  <si>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</si>
  <si>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</si>
  <si>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</si>
  <si>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</si>
  <si>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</si>
  <si>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</si>
  <si>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</si>
  <si>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</si>
  <si>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</si>
  <si>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</si>
  <si>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</si>
  <si>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</si>
  <si>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</si>
  <si>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Link Benchmark</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</si>
  <si>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</si>
  <si>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</si>
  <si>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</si>
  <si>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</si>
  <si>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</si>
  <si>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</si>
  <si>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</si>
  <si>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</si>
  <si>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</si>
  <si>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</si>
  <si>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</si>
  <si>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</si>
  <si>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</si>
  <si>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</si>
  <si>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</si>
  <si>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</si>
  <si>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</si>
  <si>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</si>
  <si>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</si>
  <si>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</si>
  <si>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</si>
  <si>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</si>
  <si>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</si>
  <si>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</si>
  <si>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B01</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</si>
  <si>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</si>
  <si>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</si>
  <si>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</si>
  <si>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</si>
  <si>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</si>
  <si>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</si>
  <si>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</si>
  <si>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</si>
  <si>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</si>
  <si>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</si>
  <si>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</si>
  <si>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</si>
  <si>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</si>
  <si>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</si>
  <si>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</si>
  <si>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</si>
  <si>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</si>
  <si>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</si>
  <si>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</si>
  <si>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</si>
  <si>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</si>
  <si>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</si>
  <si>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</si>
  <si>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</si>
  <si>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</si>
  <si>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</si>
  <si>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</si>
  <si>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</si>
  <si>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</si>
  <si>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</si>
  <si>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</si>
  <si>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</si>
  <si>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</si>
  <si>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</si>
  <si>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</si>
  <si>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</si>
  <si>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</si>
  <si>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</si>
  <si>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</si>
  <si>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</si>
  <si>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</si>
  <si>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</si>
  <si>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</si>
  <si>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</si>
  <si>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</si>
  <si>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</si>
  <si>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</si>
  <si>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</si>
  <si>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</si>
  <si>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</si>
  <si>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</si>
  <si>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</si>
  <si>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</si>
  <si>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</si>
  <si>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</si>
  <si>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</si>
  <si>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</si>
  <si>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C1.2</t>
  </si>
  <si>
    <t>Van</t>
  </si>
  <si>
    <t>Naar</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</si>
  <si>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</si>
  <si>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</si>
  <si>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</si>
  <si>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</si>
  <si>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</si>
  <si>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</si>
  <si>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TestGraaf.</t>
  </si>
  <si>
    <t>Verwijs in kolom &lt;Van&gt; naar situaties of condities waarvan het pad uitkomt bij de conditie in de &lt;Naar&gt; kolom. Scheidt verwijzing door een komma teken. Bijvoorbeeld: "S1,S5" of "C2,S1"</t>
  </si>
  <si>
    <t>0.4</t>
  </si>
  <si>
    <t>0.5</t>
  </si>
  <si>
    <t>Toegevoegd:
- Kleine aanpassingen aan EVT algoritme</t>
  </si>
  <si>
    <t>Test specificatie EVT</t>
  </si>
  <si>
    <t>Toegevoegd:
- TestGraaf testspecificatie
- Oude LTG en Functioneel sheet</t>
  </si>
  <si>
    <t>A3</t>
  </si>
  <si>
    <t>A4</t>
  </si>
  <si>
    <t>bron</t>
  </si>
  <si>
    <t>A5</t>
  </si>
  <si>
    <t>(Alle)</t>
  </si>
  <si>
    <t>Open</t>
  </si>
  <si>
    <t>Situatie</t>
  </si>
  <si>
    <t>0.6</t>
  </si>
  <si>
    <t>Toegevoegd:
- Definition of Done lezen op basis van LTGs</t>
  </si>
  <si>
    <t>Jira-tabel</t>
  </si>
  <si>
    <t>S1</t>
  </si>
  <si>
    <t>S2</t>
  </si>
  <si>
    <t>S3</t>
  </si>
  <si>
    <t>S4</t>
  </si>
  <si>
    <t>S5</t>
  </si>
  <si>
    <t>S6</t>
  </si>
  <si>
    <t>S7</t>
  </si>
  <si>
    <t>S8</t>
  </si>
  <si>
    <t>S9</t>
  </si>
  <si>
    <t>E1</t>
  </si>
  <si>
    <t>LTG 1</t>
  </si>
  <si>
    <t>LTG 2</t>
  </si>
  <si>
    <t>LTG 3</t>
  </si>
  <si>
    <t>LTG 4</t>
  </si>
  <si>
    <t>C2</t>
  </si>
  <si>
    <t>C1</t>
  </si>
  <si>
    <t>E2</t>
  </si>
  <si>
    <t>C3</t>
  </si>
  <si>
    <t>2) De tweede kan logische testgevallen bepalen aan de hand van een beschrijving van logica tussen testsituaties en te verwachte acties. Dit gaat volgens de methode van de TestGraaf en de Elementaire vergelijkingentest.</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</si>
  <si>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</si>
  <si>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</si>
  <si>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</si>
  <si>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</si>
  <si>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</si>
  <si>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</si>
  <si>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</si>
  <si>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Regels in de Testgraaf tabel worden meegenomen in de testspecificatie.</t>
  </si>
  <si>
    <t>Regels in de Testgraaf tabel geven een pad aan van een testsituatie of conditie naar een andere conditie.</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</si>
  <si>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</si>
  <si>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</si>
  <si>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</si>
  <si>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</si>
  <si>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</si>
  <si>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</si>
  <si>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</si>
  <si>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E3</t>
  </si>
  <si>
    <t>E4</t>
  </si>
  <si>
    <t>E5</t>
  </si>
  <si>
    <t>Testmaat</t>
  </si>
  <si>
    <t>Flow</t>
  </si>
  <si>
    <t>Negeer flow</t>
  </si>
  <si>
    <t>Test specificatie Testgraaf</t>
  </si>
  <si>
    <t>en</t>
  </si>
  <si>
    <t>klantenpas</t>
  </si>
  <si>
    <t>jonger dan 12</t>
  </si>
  <si>
    <t>ouder dan 65</t>
  </si>
  <si>
    <t>leeftijd</t>
  </si>
  <si>
    <t>pas</t>
  </si>
  <si>
    <t>weekaanbieding</t>
  </si>
  <si>
    <t>geen weekaanbieding</t>
  </si>
  <si>
    <t>25% korting op weekaanbieding</t>
  </si>
  <si>
    <t>5% korting op alles</t>
  </si>
  <si>
    <t>gratis kruiswoordpuzzel</t>
  </si>
  <si>
    <t>gratis bumpersticker</t>
  </si>
  <si>
    <t>A6</t>
  </si>
  <si>
    <t>aanbieding</t>
  </si>
  <si>
    <t>25% korting op weekaanbieding en gratis bumpersticker</t>
  </si>
  <si>
    <t>E1r,E2</t>
  </si>
  <si>
    <t>c</t>
  </si>
  <si>
    <t>A7</t>
  </si>
  <si>
    <t>gratis teddybeer</t>
  </si>
  <si>
    <t>S1S3S5S8</t>
  </si>
  <si>
    <t>Triggers</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</si>
  <si>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</si>
  <si>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</si>
  <si>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</si>
  <si>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</si>
  <si>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</si>
  <si>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</si>
  <si>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</si>
  <si>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</si>
  <si>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</si>
  <si>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</si>
  <si>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</si>
  <si>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</si>
  <si>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</si>
  <si>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</si>
  <si>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</si>
  <si>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</si>
  <si>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</si>
  <si>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</si>
  <si>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</si>
  <si>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</si>
  <si>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</si>
  <si>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</si>
  <si>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</si>
  <si>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</si>
  <si>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</si>
  <si>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</si>
  <si>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XXX</t>
  </si>
  <si>
    <t>Kies een artikel dat in de weekaanbieding is</t>
  </si>
  <si>
    <t>Kies een klant zonder klantenpas</t>
  </si>
  <si>
    <t>geen weekaanbieding korting</t>
  </si>
  <si>
    <t>geef klant klantenpas aanvraagformulier</t>
  </si>
  <si>
    <t>S5;S6;S7</t>
  </si>
  <si>
    <t>E3,E4</t>
  </si>
  <si>
    <t>App4</t>
  </si>
  <si>
    <t>App1</t>
  </si>
  <si>
    <t>App2</t>
  </si>
  <si>
    <t>App3</t>
  </si>
  <si>
    <t>0.7</t>
  </si>
  <si>
    <t>0.8</t>
  </si>
  <si>
    <t>Toegevoegd:
 - Combineer testgraaf met evt in specificatiesheet</t>
  </si>
  <si>
    <t>Herzien:
- Testgraaf algoritme herzien</t>
  </si>
  <si>
    <t>0.9</t>
  </si>
  <si>
    <t>Herzien:
- Handleiding sheet geupdate</t>
  </si>
  <si>
    <t>Herzien:
- EVT algoritme herzien
- specificatiesheet verwijderd</t>
  </si>
  <si>
    <t>.</t>
  </si>
  <si>
    <t>*</t>
  </si>
  <si>
    <t>besteding</t>
  </si>
  <si>
    <t>meer dan 20 euro</t>
  </si>
  <si>
    <t>C4</t>
  </si>
  <si>
    <t>S5,S6</t>
  </si>
  <si>
    <t>geef klantenpasaanvraagformulier</t>
  </si>
  <si>
    <t>S2S4</t>
  </si>
  <si>
    <t>S1S3S6S9</t>
  </si>
  <si>
    <t>S1S3S7</t>
  </si>
  <si>
    <t>geen weekaanbieding en jonger dan 12</t>
  </si>
  <si>
    <t>weekaanbieding en ouder dan 65</t>
  </si>
  <si>
    <t>geen weekaanbieding en klantenpas</t>
  </si>
  <si>
    <t>geen weekaanbieding korting en 5% korting op alles en gratis teddybeer</t>
  </si>
  <si>
    <t>geen weekaanbieding korting en geef klant klantenpas aanvraagformulier en gratis kruiswoordpuzzel</t>
  </si>
  <si>
    <t>Kies een artikel dat NIET in de weekaanbieding is</t>
  </si>
  <si>
    <t>Kies een klant met klantenpas</t>
  </si>
  <si>
    <t>Kies een klant jonger dan 12 jr</t>
  </si>
  <si>
    <t>Kies een klant ouder dan 65 jr</t>
  </si>
  <si>
    <t>A5;A7;A6</t>
  </si>
  <si>
    <t>S2S3S5 A2A4A5</t>
  </si>
  <si>
    <t>S1S3S6 A1A7</t>
  </si>
  <si>
    <t>S4S2S7 A2A3A6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</si>
</sst>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3]d/mmm/yy;@"/>
  </numFmts>
  <fonts count="21" x14ac:knownFonts="1">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sz val="10"/>
      <color indexed="81"/>
      <name val="Tahoma"/>
      <family val="2"/>
    </font>
    <font>
      <sz val="10"/>
      <color theme="0"/>
      <name val="Tahoma"/>
      <family val="2"/>
    </font>
  </fonts>
  <fills count="13">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4"/>
        <bgColor indexed="64"/>
      </patternFill>
    </fill>
    <fill>
      <patternFill patternType="solid">
        <fgColor theme="6"/>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213">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Fill="1"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0" fontId="0" fillId="0" borderId="1" xfId="0" applyBorder="1" applyAlignment="1">
      <alignment textRotation="90"/>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0" borderId="0" xfId="0"/>
    <xf numFmtId="0" fontId="0" fillId="6" borderId="1" xfId="0" applyFill="1" applyBorder="1" applyAlignment="1">
      <alignment horizontal="center" vertical="center"/>
    </xf>
    <xf numFmtId="0" fontId="0" fillId="0" borderId="0" xfId="0"/>
    <xf numFmtId="0" fontId="0" fillId="0" borderId="0" xfId="0"/>
    <xf numFmtId="0" fontId="0" fillId="7" borderId="1" xfId="0" applyNumberFormat="1" applyFill="1" applyBorder="1"/>
    <xf numFmtId="0" fontId="0" fillId="8" borderId="1" xfId="0" applyNumberFormat="1" applyFill="1" applyBorder="1"/>
    <xf numFmtId="0" fontId="0" fillId="9" borderId="1" xfId="0" applyNumberFormat="1" applyFill="1" applyBorder="1"/>
    <xf numFmtId="10" fontId="0" fillId="10" borderId="1" xfId="0" applyNumberFormat="1" applyFill="1" applyBorder="1"/>
    <xf numFmtId="0" fontId="0" fillId="2" borderId="1" xfId="0" applyFill="1" applyBorder="1"/>
    <xf numFmtId="0" fontId="0" fillId="2" borderId="1" xfId="0" applyFill="1" applyBorder="1" applyAlignment="1">
      <alignment wrapText="1"/>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0" fillId="0" borderId="0" xfId="0"/>
    <xf numFmtId="0" fontId="1" fillId="11" borderId="1" xfId="0" applyFont="1" applyFill="1" applyBorder="1"/>
    <xf numFmtId="0" fontId="0" fillId="0" borderId="0" xfId="0" applyFont="1"/>
    <xf numFmtId="0" fontId="0" fillId="0" borderId="1" xfId="0" applyFont="1" applyFill="1" applyBorder="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1" xfId="0" applyFont="1" applyFill="1" applyBorder="1" applyAlignment="1">
      <alignment wrapText="1"/>
    </xf>
    <xf numFmtId="0" fontId="0" fillId="0" borderId="0" xfId="0" applyFont="1" applyFill="1" applyBorder="1"/>
    <xf numFmtId="0" fontId="0" fillId="0" borderId="0" xfId="0" applyFont="1" applyFill="1" applyBorder="1" applyAlignment="1">
      <alignment wrapText="1"/>
    </xf>
    <xf numFmtId="0" fontId="0" fillId="0" borderId="1" xfId="0" applyFont="1" applyFill="1" applyBorder="1" applyAlignment="1">
      <alignment horizontal="right"/>
    </xf>
    <xf numFmtId="0" fontId="3" fillId="0" borderId="1" xfId="0" applyFont="1" applyFill="1" applyBorder="1" applyAlignment="1">
      <alignment vertical="top" wrapText="1"/>
    </xf>
    <xf numFmtId="9" fontId="0" fillId="0" borderId="1" xfId="0" applyNumberFormat="1" applyFont="1" applyFill="1" applyBorder="1"/>
    <xf numFmtId="0" fontId="0" fillId="0" borderId="0" xfId="0"/>
    <xf numFmtId="0" fontId="0" fillId="0" borderId="0" xfId="0"/>
    <xf numFmtId="0" fontId="1" fillId="12" borderId="1" xfId="0"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 fillId="0" borderId="0" xfId="0" applyFont="1" applyBorder="1" applyAlignment="1">
      <alignment horizontal="center"/>
    </xf>
    <xf numFmtId="0" fontId="0" fillId="0" borderId="0" xfId="0"/>
    <xf numFmtId="0" fontId="1" fillId="0" borderId="0" xfId="0" applyFont="1" applyBorder="1" applyAlignment="1">
      <alignment horizontal="center"/>
    </xf>
    <xf numFmtId="0" fontId="0" fillId="0" borderId="1" xfId="0" applyFont="1" applyFill="1" applyBorder="1" applyAlignment="1">
      <alignment horizontal="left"/>
    </xf>
    <xf numFmtId="0" fontId="0" fillId="0" borderId="0" xfId="0" applyFont="1" applyFill="1" applyBorder="1" applyAlignment="1">
      <alignment horizontal="right"/>
    </xf>
    <xf numFmtId="0" fontId="1" fillId="0" borderId="0" xfId="0" applyFont="1" applyFill="1" applyBorder="1"/>
    <xf numFmtId="0" fontId="1" fillId="0" borderId="9" xfId="0" applyFont="1" applyFill="1" applyBorder="1"/>
    <xf numFmtId="0" fontId="0" fillId="0" borderId="9" xfId="0" applyFill="1" applyBorder="1"/>
    <xf numFmtId="0" fontId="0" fillId="0" borderId="0" xfId="0"/>
    <xf numFmtId="0" fontId="0" fillId="0" borderId="0" xfId="0"/>
    <xf numFmtId="0" fontId="0" fillId="0" borderId="0" xfId="0"/>
    <xf numFmtId="0" fontId="0" fillId="12" borderId="4" xfId="0" applyFont="1" applyFill="1" applyBorder="1"/>
    <xf numFmtId="0" fontId="18" fillId="0" borderId="0" xfId="0" applyFont="1"/>
    <xf numFmtId="0" fontId="0" fillId="0" borderId="0" xfId="0"/>
    <xf numFmtId="0" fontId="0" fillId="0" borderId="0" xfId="0"/>
    <xf numFmtId="0" fontId="0" fillId="0" borderId="0" xfId="0"/>
    <xf numFmtId="0" fontId="0" fillId="0" borderId="9" xfId="0" applyFont="1" applyFill="1" applyBorder="1"/>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xf numFmtId="0" fontId="0" fillId="0" borderId="0" xfId="0"/>
    <xf numFmtId="0" fontId="1" fillId="0" borderId="0" xfId="0" applyFont="1" applyBorder="1" applyAlignment="1">
      <alignment horizontal="center"/>
    </xf>
    <xf numFmtId="0" fontId="0" fillId="0" borderId="0" xfId="0"/>
    <xf numFmtId="0" fontId="0" fillId="0" borderId="1" xfId="0" applyBorder="1"/>
    <xf numFmtId="0" fontId="0" fillId="0" borderId="0" xfId="0" applyAlignment="1">
      <alignment horizontal="left"/>
    </xf>
    <xf numFmtId="0" fontId="0" fillId="0" borderId="1" xfId="0" applyBorder="1"/>
    <xf numFmtId="49" fontId="20" fillId="0" borderId="1" xfId="0" applyNumberFormat="1" applyFont="1" applyBorder="1" applyAlignment="1">
      <alignment horizontal="center" vertical="top"/>
    </xf>
    <xf numFmtId="0" fontId="2" fillId="0" borderId="1" xfId="0" applyFont="1" applyFill="1" applyBorder="1" applyAlignment="1">
      <alignment vertical="top" wrapText="1"/>
    </xf>
    <xf numFmtId="0" fontId="0" fillId="0" borderId="1" xfId="0" applyBorder="1"/>
    <xf numFmtId="0" fontId="0" fillId="0" borderId="0" xfId="0"/>
    <xf numFmtId="0" fontId="0" fillId="0" borderId="4" xfId="0" applyBorder="1"/>
    <xf numFmtId="0" fontId="0" fillId="0" borderId="6" xfId="0" applyBorder="1"/>
    <xf numFmtId="0" fontId="0" fillId="0" borderId="9" xfId="0" applyBorder="1"/>
    <xf numFmtId="0" fontId="0" fillId="0" borderId="0" xfId="0"/>
    <xf numFmtId="0" fontId="0" fillId="0" borderId="1" xfId="0" applyBorder="1"/>
    <xf numFmtId="0" fontId="1" fillId="2" borderId="1" xfId="0" applyFont="1" applyFill="1" applyBorder="1"/>
    <xf numFmtId="0" fontId="1" fillId="2" borderId="1" xfId="0" applyNumberFormat="1" applyFont="1" applyFill="1" applyBorder="1"/>
    <xf numFmtId="0" fontId="1" fillId="0" borderId="0" xfId="0" applyFont="1" applyBorder="1" applyAlignment="1">
      <alignment horizontal="center"/>
    </xf>
    <xf numFmtId="0" fontId="1" fillId="2" borderId="8" xfId="0" applyFont="1" applyFill="1" applyBorder="1" applyAlignment="1">
      <alignment horizontal="center"/>
    </xf>
    <xf numFmtId="0" fontId="1" fillId="2" borderId="9" xfId="0" applyFont="1" applyFill="1" applyBorder="1" applyAlignment="1">
      <alignment horizontal="center"/>
    </xf>
    <xf numFmtId="0" fontId="1" fillId="2" borderId="12"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2" fillId="0" borderId="1" xfId="0" applyFont="1" applyFill="1" applyBorder="1" applyAlignment="1">
      <alignment vertical="top" wrapText="1"/>
    </xf>
    <xf numFmtId="0" fontId="0" fillId="0" borderId="1" xfId="0" applyBorder="1" applyAlignment="1">
      <alignment vertical="top"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1" fillId="2" borderId="1" xfId="0" applyFont="1" applyFill="1" applyBorder="1" applyAlignment="1">
      <alignment horizontal="center"/>
    </xf>
    <xf numFmtId="0" fontId="0" fillId="0" borderId="1" xfId="0" applyBorder="1" applyAlignment="1">
      <alignment horizontal="left"/>
    </xf>
  </cellXfs>
  <cellStyles count="3">
    <cellStyle name="Hyperlink" xfId="2" builtinId="8"/>
    <cellStyle name="Normal" xfId="0" builtinId="0"/>
    <cellStyle name="Standaard_Opslaan en filteren Doseringen" xfId="1"/>
  </cellStyles>
  <dxfs count="44">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 v1.0.xlsm]Rapport!Draaitabel4</c:name>
    <c:fmtId val="0"/>
  </c:pivotSource>
  <c:chart>
    <c:title>
      <c:layout/>
      <c:overlay val="0"/>
    </c:title>
    <c:autoTitleDeleted val="0"/>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0"/>
            <c:bubble3D val="0"/>
          </c:dPt>
          <c:cat>
            <c:strRef>
              <c:f>Rapport!$B$20:$B$22</c:f>
              <c:strCache>
                <c:ptCount val="2"/>
                <c:pt idx="0">
                  <c:v>nok</c:v>
                </c:pt>
                <c:pt idx="1">
                  <c:v>(blank)</c:v>
                </c:pt>
              </c:strCache>
            </c:strRef>
          </c:cat>
          <c:val>
            <c:numRef>
              <c:f>Rapport!$C$20:$C$22</c:f>
              <c:numCache>
                <c:formatCode>General</c:formatCode>
                <c:ptCount val="2"/>
                <c:pt idx="0">
                  <c:v>1</c:v>
                </c:pt>
              </c:numCache>
            </c:numRef>
          </c:val>
        </c:ser>
        <c:ser>
          <c:idx val="1"/>
          <c:order val="1"/>
          <c:tx>
            <c:strRef>
              <c:f>Rapport!$D$19</c:f>
              <c:strCache>
                <c:ptCount val="1"/>
                <c:pt idx="0">
                  <c:v>%</c:v>
                </c:pt>
              </c:strCache>
            </c:strRef>
          </c:tx>
          <c:explosion val="25"/>
          <c:cat>
            <c:strRef>
              <c:f>Rapport!$B$20:$B$22</c:f>
              <c:strCache>
                <c:ptCount val="2"/>
                <c:pt idx="0">
                  <c:v>nok</c:v>
                </c:pt>
                <c:pt idx="1">
                  <c:v>(blank)</c:v>
                </c:pt>
              </c:strCache>
            </c:strRef>
          </c:cat>
          <c:val>
            <c:numRef>
              <c:f>Rapport!$D$20:$D$22</c:f>
              <c:numCache>
                <c:formatCode>0.00%</c:formatCode>
                <c:ptCount val="2"/>
                <c:pt idx="0">
                  <c:v>1</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 v1.0.xlsm]Rapport!Draaitabel5</c:name>
    <c:fmtId val="0"/>
  </c:pivotSource>
  <c:chart>
    <c:title>
      <c:tx>
        <c:rich>
          <a:bodyPr/>
          <a:lstStyle/>
          <a:p>
            <a:pPr>
              <a:defRPr/>
            </a:pPr>
            <a:r>
              <a:rPr lang="en-US"/>
              <a:t>Logische test</a:t>
            </a:r>
            <a:r>
              <a:rPr lang="en-US" baseline="0"/>
              <a:t> </a:t>
            </a:r>
            <a:r>
              <a:rPr lang="en-US"/>
              <a:t>stappen</a:t>
            </a:r>
          </a:p>
        </c:rich>
      </c:tx>
      <c:layout/>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0"/>
            <c:bubble3D val="0"/>
          </c:dPt>
          <c:cat>
            <c:strRef>
              <c:f>Rapport!$B$35:$B$37</c:f>
              <c:strCache>
                <c:ptCount val="2"/>
                <c:pt idx="0">
                  <c:v>nok</c:v>
                </c:pt>
                <c:pt idx="1">
                  <c:v>(blank)</c:v>
                </c:pt>
              </c:strCache>
            </c:strRef>
          </c:cat>
          <c:val>
            <c:numRef>
              <c:f>Rapport!$C$35:$C$37</c:f>
              <c:numCache>
                <c:formatCode>General</c:formatCode>
                <c:ptCount val="2"/>
                <c:pt idx="0">
                  <c:v>2</c:v>
                </c:pt>
              </c:numCache>
            </c:numRef>
          </c:val>
        </c:ser>
        <c:ser>
          <c:idx val="1"/>
          <c:order val="1"/>
          <c:tx>
            <c:strRef>
              <c:f>Rapport!$D$34</c:f>
              <c:strCache>
                <c:ptCount val="1"/>
                <c:pt idx="0">
                  <c:v>%</c:v>
                </c:pt>
              </c:strCache>
            </c:strRef>
          </c:tx>
          <c:explosion val="25"/>
          <c:cat>
            <c:strRef>
              <c:f>Rapport!$B$35:$B$37</c:f>
              <c:strCache>
                <c:ptCount val="2"/>
                <c:pt idx="0">
                  <c:v>nok</c:v>
                </c:pt>
                <c:pt idx="1">
                  <c:v>(blank)</c:v>
                </c:pt>
              </c:strCache>
            </c:strRef>
          </c:cat>
          <c:val>
            <c:numRef>
              <c:f>Rapport!$D$35:$D$37</c:f>
              <c:numCache>
                <c:formatCode>0.00%</c:formatCode>
                <c:ptCount val="2"/>
                <c:pt idx="0">
                  <c:v>1</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 v1.0.xlsm]Rapport!Draaitabel6</c:name>
    <c:fmtId val="0"/>
  </c:pivotSource>
  <c:chart>
    <c:title>
      <c:tx>
        <c:rich>
          <a:bodyPr/>
          <a:lstStyle/>
          <a:p>
            <a:pPr>
              <a:defRPr/>
            </a:pPr>
            <a:r>
              <a:rPr lang="en-US"/>
              <a:t>Alle test</a:t>
            </a:r>
            <a:r>
              <a:rPr lang="en-US" baseline="0"/>
              <a:t> </a:t>
            </a:r>
            <a:r>
              <a:rPr lang="en-US"/>
              <a:t>stappen</a:t>
            </a:r>
          </a:p>
        </c:rich>
      </c:tx>
      <c:layout/>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dPt>
            <c:idx val="0"/>
            <c:bubble3D val="0"/>
          </c:dPt>
          <c:cat>
            <c:strRef>
              <c:f>Rapport!$B$49:$B$50</c:f>
              <c:strCache>
                <c:ptCount val="1"/>
                <c:pt idx="0">
                  <c:v>nok</c:v>
                </c:pt>
              </c:strCache>
            </c:strRef>
          </c:cat>
          <c:val>
            <c:numRef>
              <c:f>Rapport!$C$49:$C$50</c:f>
              <c:numCache>
                <c:formatCode>General</c:formatCode>
                <c:ptCount val="1"/>
                <c:pt idx="0">
                  <c:v>2</c:v>
                </c:pt>
              </c:numCache>
            </c:numRef>
          </c:val>
        </c:ser>
        <c:ser>
          <c:idx val="1"/>
          <c:order val="1"/>
          <c:tx>
            <c:strRef>
              <c:f>Rapport!$D$48</c:f>
              <c:strCache>
                <c:ptCount val="1"/>
                <c:pt idx="0">
                  <c:v>%</c:v>
                </c:pt>
              </c:strCache>
            </c:strRef>
          </c:tx>
          <c:explosion val="25"/>
          <c:cat>
            <c:strRef>
              <c:f>Rapport!$B$49:$B$50</c:f>
              <c:strCache>
                <c:ptCount val="1"/>
                <c:pt idx="0">
                  <c:v>nok</c:v>
                </c:pt>
              </c:strCache>
            </c:strRef>
          </c:cat>
          <c:val>
            <c:numRef>
              <c:f>Rapport!$D$49:$D$50</c:f>
              <c:numCache>
                <c:formatCode>0.00%</c:formatCode>
                <c:ptCount val="1"/>
                <c:pt idx="0">
                  <c:v>1</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 v1.0.xlsm]Rapport!Draaitabel2</c:name>
    <c:fmtId val="1"/>
  </c:pivotSource>
  <c:chart>
    <c:title>
      <c:tx>
        <c:rich>
          <a:bodyPr/>
          <a:lstStyle/>
          <a:p>
            <a:pPr>
              <a:defRPr/>
            </a:pPr>
            <a:r>
              <a:rPr lang="nl-NL"/>
              <a:t>Bevindingen</a:t>
            </a:r>
          </a:p>
        </c:rich>
      </c:tx>
      <c:overlay val="0"/>
    </c:title>
    <c:autoTitleDeleted val="0"/>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Rapport!$B$67:$B$70</c:f>
              <c:strCache>
                <c:ptCount val="3"/>
                <c:pt idx="0">
                  <c:v>Te beoordelen</c:v>
                </c:pt>
                <c:pt idx="1">
                  <c:v>Open</c:v>
                </c:pt>
                <c:pt idx="2">
                  <c:v>Gesloten</c:v>
                </c:pt>
              </c:strCache>
            </c:strRef>
          </c:cat>
          <c:val>
            <c:numRef>
              <c:f>Rapport!$C$67:$C$70</c:f>
              <c:numCache>
                <c:formatCode>General</c:formatCode>
                <c:ptCount val="3"/>
                <c:pt idx="0">
                  <c:v>1</c:v>
                </c:pt>
                <c:pt idx="1">
                  <c:v>1</c:v>
                </c:pt>
                <c:pt idx="2">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7.ltgs2" textlink="">
      <xdr:nvSpPr>
        <xdr:cNvPr id="3" name="Tekstvak 2"/>
        <xdr:cNvSpPr txBox="1"/>
      </xdr:nvSpPr>
      <xdr:spPr>
        <a:xfrm>
          <a:off x="4425041"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meenk" refreshedDate="40772.487347106478" createdVersion="4" refreshedVersion="4" minRefreshableVersion="3" recordCount="4">
  <cacheSource type="worksheet">
    <worksheetSource ref="B9:Q497" sheet="Bevindingen"/>
  </cacheSource>
  <cacheFields count="16">
    <cacheField name="Nr" numFmtId="0">
      <sharedItems containsBlank="1"/>
    </cacheField>
    <cacheField name="Omschrijving" numFmtId="0">
      <sharedItems containsBlank="1"/>
    </cacheField>
    <cacheField name="Status" numFmtId="0">
      <sharedItems containsBlank="1" count="4">
        <s v="Te beoordelen"/>
        <s v="Open"/>
        <s v="Gesloten"/>
        <m/>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String="0" containsBlank="1" containsNumber="1" containsInteger="1" minValue="1" maxValue="1"/>
    </cacheField>
    <cacheField name="Tester" numFmtId="0">
      <sharedItems containsBlank="1"/>
    </cacheField>
    <cacheField name="Datum" numFmtId="0">
      <sharedItems containsNonDate="0" containsDate="1" containsString="0" containsBlank="1" minDate="2000-01-01T00:00:00" maxDate="2000-01-02T00:00:00"/>
    </cacheField>
    <cacheField name="Systeemversie" numFmtId="0">
      <sharedItems containsBlank="1"/>
    </cacheField>
    <cacheField name="Iteratie" numFmtId="0">
      <sharedItems containsString="0" containsBlank="1" containsNumber="1" containsInteger="1" minValue="1" maxValue="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Smeenk" refreshedDate="40772.489726736108" createdVersion="4" refreshedVersion="4" minRefreshableVersion="3" recordCount="65">
  <cacheSource type="worksheet">
    <worksheetSource ref="B8:H572" sheet="FTG"/>
  </cacheSource>
  <cacheFields count="7">
    <cacheField name="LTG nr" numFmtId="49">
      <sharedItems containsBlank="1"/>
    </cacheField>
    <cacheField name="FTG nr" numFmtId="49">
      <sharedItems containsBlank="1" containsMixedTypes="1" containsNumber="1" containsInteger="1" minValue="1" maxValue="6" count="9">
        <m/>
        <s v="1"/>
        <s v="*"/>
        <n v="5" u="1"/>
        <n v="2" u="1"/>
        <n v="6" u="1"/>
        <n v="1" u="1"/>
        <n v="3" u="1"/>
        <n v="4" u="1"/>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m/>
        <s v="nok"/>
        <s v="nvt" u="1"/>
        <s v="ok" u="1"/>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s v="B1"/>
    <s v="Bij -gahjdk- wordt verwacht: -d- , maar: "/>
    <x v="0"/>
    <m/>
    <m/>
    <m/>
    <n v="1"/>
    <s v="Ralph"/>
    <d v="2000-01-01T00:00:00"/>
    <s v="B01"/>
    <n v="1"/>
    <m/>
    <m/>
    <m/>
    <m/>
    <m/>
  </r>
  <r>
    <s v="B2"/>
    <s v="Bij -gahjdk- wordt verwacht: -d- , maar: "/>
    <x v="1"/>
    <m/>
    <m/>
    <m/>
    <n v="1"/>
    <s v="Ralph"/>
    <d v="2000-01-01T00:00:00"/>
    <s v="B01"/>
    <n v="1"/>
    <m/>
    <m/>
    <m/>
    <m/>
    <m/>
  </r>
  <r>
    <s v="B3"/>
    <s v="Bij -gahjdk- wordt verwacht: -asd- , maar: "/>
    <x v="2"/>
    <m/>
    <m/>
    <m/>
    <n v="1"/>
    <s v="Ralph"/>
    <d v="2000-01-01T00:00:00"/>
    <s v="B01"/>
    <n v="1"/>
    <m/>
    <m/>
    <m/>
    <m/>
    <m/>
  </r>
  <r>
    <m/>
    <m/>
    <x v="3"/>
    <m/>
    <m/>
    <m/>
    <m/>
    <m/>
    <m/>
    <m/>
    <m/>
    <m/>
    <m/>
    <m/>
    <m/>
    <m/>
  </r>
</pivotCacheRecords>
</file>

<file path=xl/pivotCache/pivotCacheRecords3.xml><?xml version="1.0" encoding="utf-8"?>
<pivotCacheRecords xmlns="http://schemas.openxmlformats.org/spreadsheetml/2006/main" xmlns:r="http://schemas.openxmlformats.org/officeDocument/2006/relationships" count="65">
  <r>
    <m/>
    <x v="0"/>
    <m/>
    <m/>
    <m/>
    <x v="0"/>
    <m/>
  </r>
  <r>
    <m/>
    <x v="0"/>
    <m/>
    <m/>
    <m/>
    <x v="0"/>
    <m/>
  </r>
  <r>
    <m/>
    <x v="0"/>
    <m/>
    <m/>
    <m/>
    <x v="0"/>
    <m/>
  </r>
  <r>
    <s v="1"/>
    <x v="1"/>
    <s v="gahjdk"/>
    <m/>
    <m/>
    <x v="1"/>
    <m/>
  </r>
  <r>
    <m/>
    <x v="0"/>
    <s v="asd"/>
    <s v="d"/>
    <m/>
    <x v="1"/>
    <m/>
  </r>
  <r>
    <m/>
    <x v="2"/>
    <s v="asd"/>
    <s v="asd"/>
    <m/>
    <x v="1"/>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4"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2" firstHeaderRow="0" firstDataRow="1" firstDataCol="1"/>
  <pivotFields count="7">
    <pivotField dataField="1" showAll="0"/>
    <pivotField showAll="0"/>
    <pivotField showAll="0"/>
    <pivotField showAll="0"/>
    <pivotField showAll="0"/>
    <pivotField axis="axisRow" showAll="0">
      <items count="5">
        <item x="1"/>
        <item m="1" x="2"/>
        <item m="1" x="3"/>
        <item x="0"/>
        <item t="default"/>
      </items>
    </pivotField>
    <pivotField showAll="0"/>
  </pivotFields>
  <rowFields count="1">
    <field x="5"/>
  </rowFields>
  <rowItems count="3">
    <i>
      <x/>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15">
      <pivotArea type="all" dataOnly="0" outline="0" fieldPosition="0"/>
    </format>
    <format dxfId="14">
      <pivotArea type="all" dataOnly="0" outline="0" fieldPosition="0"/>
    </format>
    <format dxfId="13">
      <pivotArea collapsedLevelsAreSubtotals="1" fieldPosition="0">
        <references count="2">
          <reference field="4294967294" count="1" selected="0">
            <x v="1"/>
          </reference>
          <reference field="5" count="1">
            <x v="1"/>
          </reference>
        </references>
      </pivotArea>
    </format>
    <format dxfId="12">
      <pivotArea collapsedLevelsAreSubtotals="1" fieldPosition="0">
        <references count="2">
          <reference field="4294967294" count="1" selected="0">
            <x v="1"/>
          </reference>
          <reference field="5" count="1">
            <x v="2"/>
          </reference>
        </references>
      </pivotArea>
    </format>
    <format dxfId="11">
      <pivotArea collapsedLevelsAreSubtotals="1" fieldPosition="0">
        <references count="2">
          <reference field="4294967294" count="1" selected="0">
            <x v="1"/>
          </reference>
          <reference field="5" count="1">
            <x v="3"/>
          </reference>
        </references>
      </pivotArea>
    </format>
    <format dxfId="1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6"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10">
        <item m="1" x="6"/>
        <item h="1" m="1" x="4"/>
        <item h="1" m="1" x="7"/>
        <item h="1" m="1" x="8"/>
        <item h="1" m="1" x="3"/>
        <item h="1" m="1" x="5"/>
        <item h="1" x="0"/>
        <item x="1"/>
        <item x="2"/>
        <item t="default"/>
      </items>
    </pivotField>
    <pivotField showAll="0"/>
    <pivotField showAll="0"/>
    <pivotField showAll="0"/>
    <pivotField axis="axisRow" showAll="0">
      <items count="5">
        <item x="1"/>
        <item m="1" x="2"/>
        <item m="1" x="3"/>
        <item x="0"/>
        <item t="default"/>
      </items>
    </pivotField>
    <pivotField showAll="0"/>
  </pivotFields>
  <rowFields count="1">
    <field x="5"/>
  </rowFields>
  <rowItems count="2">
    <i>
      <x/>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25">
      <pivotArea type="all" dataOnly="0" outline="0" fieldPosition="0"/>
    </format>
    <format dxfId="24">
      <pivotArea type="all" dataOnly="0" outline="0" fieldPosition="0"/>
    </format>
    <format dxfId="23">
      <pivotArea field="1" type="button" dataOnly="0" labelOnly="1" outline="0" axis="axisPage" fieldPosition="0"/>
    </format>
    <format dxfId="22">
      <pivotArea dataOnly="0" labelOnly="1" outline="0" fieldPosition="0">
        <references count="1">
          <reference field="1" count="0"/>
        </references>
      </pivotArea>
    </format>
    <format dxfId="21">
      <pivotArea field="1" type="button" dataOnly="0" labelOnly="1" outline="0" axis="axisPage" fieldPosition="0"/>
    </format>
    <format dxfId="20">
      <pivotArea dataOnly="0" labelOnly="1" outline="0" fieldPosition="0">
        <references count="1">
          <reference field="1" count="0"/>
        </references>
      </pivotArea>
    </format>
    <format dxfId="19">
      <pivotArea collapsedLevelsAreSubtotals="1" fieldPosition="0">
        <references count="2">
          <reference field="4294967294" count="1" selected="0">
            <x v="1"/>
          </reference>
          <reference field="5" count="1">
            <x v="2"/>
          </reference>
        </references>
      </pivotArea>
    </format>
    <format dxfId="18">
      <pivotArea collapsedLevelsAreSubtotals="1" fieldPosition="0">
        <references count="2">
          <reference field="4294967294" count="1" selected="0">
            <x v="1"/>
          </reference>
          <reference field="5" count="1">
            <x v="1"/>
          </reference>
        </references>
      </pivotArea>
    </format>
    <format dxfId="17">
      <pivotArea collapsedLevelsAreSubtotals="1" fieldPosition="0">
        <references count="2">
          <reference field="4294967294" count="1" selected="0">
            <x v="1"/>
          </reference>
          <reference field="5" count="1">
            <x v="3"/>
          </reference>
        </references>
      </pivotArea>
    </format>
    <format dxfId="16">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2" cacheId="1"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70" firstHeaderRow="1" firstDataRow="1" firstDataCol="1"/>
  <pivotFields count="16">
    <pivotField showAll="0"/>
    <pivotField showAll="0"/>
    <pivotField axis="axisRow" dataField="1" multipleItemSelectionAllowed="1" showAll="0">
      <items count="5">
        <item x="0"/>
        <item h="1"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4">
    <i>
      <x/>
    </i>
    <i>
      <x v="2"/>
    </i>
    <i>
      <x v="3"/>
    </i>
    <i t="grand">
      <x/>
    </i>
  </rowItems>
  <colItems count="1">
    <i/>
  </colItems>
  <dataFields count="1">
    <dataField name="Aantal van Status" fld="2" subtotal="count" baseField="0" baseItem="0"/>
  </dataFields>
  <formats count="6">
    <format dxfId="31">
      <pivotArea field="2" type="button" dataOnly="0" labelOnly="1" outline="0" axis="axisRow" fieldPosition="0"/>
    </format>
    <format dxfId="30">
      <pivotArea type="all" dataOnly="0" outline="0" fieldPosition="0"/>
    </format>
    <format dxfId="29">
      <pivotArea type="all" dataOnly="0" outline="0" fieldPosition="0"/>
    </format>
    <format dxfId="28">
      <pivotArea collapsedLevelsAreSubtotals="1" fieldPosition="0">
        <references count="2">
          <reference field="4294967294" count="1" selected="0">
            <x v="0"/>
          </reference>
          <reference field="2" count="1">
            <x v="0"/>
          </reference>
        </references>
      </pivotArea>
    </format>
    <format dxfId="27">
      <pivotArea collapsedLevelsAreSubtotals="1" fieldPosition="0">
        <references count="2">
          <reference field="4294967294" count="1" selected="0">
            <x v="0"/>
          </reference>
          <reference field="2" count="1">
            <x v="2"/>
          </reference>
        </references>
      </pivotArea>
    </format>
    <format dxfId="26">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5" cacheId="2"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7" firstHeaderRow="0" firstDataRow="1" firstDataCol="1" rowPageCount="1" colPageCount="1"/>
  <pivotFields count="7">
    <pivotField showAll="0"/>
    <pivotField axis="axisPage" dataField="1" showAll="0">
      <items count="10">
        <item m="1" x="6"/>
        <item m="1" x="4"/>
        <item m="1" x="7"/>
        <item m="1" x="8"/>
        <item m="1" x="3"/>
        <item m="1" x="5"/>
        <item x="0"/>
        <item x="1"/>
        <item x="2"/>
        <item t="default"/>
      </items>
    </pivotField>
    <pivotField showAll="0"/>
    <pivotField showAll="0"/>
    <pivotField showAll="0"/>
    <pivotField axis="axisRow" showAll="0">
      <items count="5">
        <item x="1"/>
        <item m="1" x="2"/>
        <item m="1" x="3"/>
        <item x="0"/>
        <item t="default"/>
      </items>
    </pivotField>
    <pivotField showAll="0"/>
  </pivotFields>
  <rowFields count="1">
    <field x="5"/>
  </rowFields>
  <rowItems count="3">
    <i>
      <x/>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39">
      <pivotArea type="all" dataOnly="0" outline="0" fieldPosition="0"/>
    </format>
    <format dxfId="38">
      <pivotArea type="all" dataOnly="0" outline="0" fieldPosition="0"/>
    </format>
    <format dxfId="37">
      <pivotArea field="1" type="button" dataOnly="0" labelOnly="1" outline="0" axis="axisPage" fieldPosition="0"/>
    </format>
    <format dxfId="36">
      <pivotArea field="1" type="button" dataOnly="0" labelOnly="1" outline="0" axis="axisPage" fieldPosition="0"/>
    </format>
    <format dxfId="35">
      <pivotArea collapsedLevelsAreSubtotals="1" fieldPosition="0">
        <references count="2">
          <reference field="4294967294" count="1" selected="0">
            <x v="1"/>
          </reference>
          <reference field="5" count="1">
            <x v="2"/>
          </reference>
        </references>
      </pivotArea>
    </format>
    <format dxfId="34">
      <pivotArea collapsedLevelsAreSubtotals="1" fieldPosition="0">
        <references count="2">
          <reference field="4294967294" count="1" selected="0">
            <x v="1"/>
          </reference>
          <reference field="5" count="1">
            <x v="1"/>
          </reference>
        </references>
      </pivotArea>
    </format>
    <format dxfId="33">
      <pivotArea collapsedLevelsAreSubtotals="1" fieldPosition="0">
        <references count="2">
          <reference field="4294967294" count="1" selected="0">
            <x v="1"/>
          </reference>
          <reference field="5" count="1">
            <x v="3"/>
          </reference>
        </references>
      </pivotArea>
    </format>
    <format dxfId="32">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0"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9">
      <pivotArea type="all" dataOnly="0" outline="0" fieldPosition="0"/>
    </format>
    <format dxfId="8">
      <pivotArea dataOnly="0" labelOnly="1" outline="0" fieldPosition="0">
        <references count="1">
          <reference field="4294967294" count="7">
            <x v="0"/>
            <x v="1"/>
            <x v="2"/>
            <x v="3"/>
            <x v="4"/>
            <x v="5"/>
            <x v="6"/>
          </reference>
        </references>
      </pivotArea>
    </format>
    <format dxfId="7">
      <pivotArea field="8"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dataOnly="0" labelOnly="1" outline="0" fieldPosition="0">
        <references count="1">
          <reference field="4294967294" count="7">
            <x v="0"/>
            <x v="1"/>
            <x v="2"/>
            <x v="3"/>
            <x v="4"/>
            <x v="5"/>
            <x v="6"/>
          </reference>
        </references>
      </pivotArea>
    </format>
    <format dxfId="2">
      <pivotArea outline="0" collapsedLevelsAreSubtotals="1" fieldPosition="0">
        <references count="1">
          <reference field="4294967294" count="1" selected="0">
            <x v="6"/>
          </reference>
        </references>
      </pivotArea>
    </format>
    <format dxfId="1">
      <pivotArea dataOnly="0" labelOnly="1" outline="0" fieldPosition="0">
        <references count="1">
          <reference field="4294967294" count="7">
            <x v="0"/>
            <x v="1"/>
            <x v="2"/>
            <x v="3"/>
            <x v="4"/>
            <x v="5"/>
            <x v="6"/>
          </reference>
        </references>
      </pivotArea>
    </format>
    <format dxfId="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8.xml"/><Relationship Id="rId5" Type="http://schemas.openxmlformats.org/officeDocument/2006/relationships/printerSettings" Target="../printerSettings/printerSettings7.bin"/><Relationship Id="rId4"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C6:I20"/>
  <sheetViews>
    <sheetView showGridLines="0" workbookViewId="0">
      <selection activeCell="E17" sqref="E17"/>
    </sheetView>
  </sheetViews>
  <sheetFormatPr defaultRowHeight="15" x14ac:dyDescent="0.25"/>
  <cols>
    <col min="3" max="3" width="15.5703125" customWidth="1"/>
    <col min="5" max="5" width="21.85546875" customWidth="1"/>
    <col min="6" max="6" width="10" bestFit="1" customWidth="1"/>
    <col min="7" max="7" width="20.140625" bestFit="1" customWidth="1"/>
    <col min="8" max="8" width="18.5703125" customWidth="1"/>
    <col min="9" max="9" width="17.5703125" customWidth="1"/>
  </cols>
  <sheetData>
    <row r="6" spans="3:9" x14ac:dyDescent="0.25">
      <c r="C6" s="3" t="s">
        <v>13</v>
      </c>
      <c r="D6" s="76" t="s">
        <v>120</v>
      </c>
      <c r="E6" s="3" t="s">
        <v>104</v>
      </c>
      <c r="F6" s="3" t="s">
        <v>96</v>
      </c>
      <c r="G6" s="3" t="s">
        <v>6</v>
      </c>
      <c r="H6" s="75" t="s">
        <v>94</v>
      </c>
      <c r="I6" s="104" t="s">
        <v>200</v>
      </c>
    </row>
    <row r="7" spans="3:9" x14ac:dyDescent="0.25">
      <c r="C7" s="1" t="s">
        <v>130</v>
      </c>
      <c r="D7" s="65" t="s">
        <v>106</v>
      </c>
      <c r="E7" s="1" t="s">
        <v>122</v>
      </c>
      <c r="F7" s="1" t="s">
        <v>319</v>
      </c>
      <c r="G7" s="73" t="s">
        <v>127</v>
      </c>
      <c r="H7" s="5" t="s">
        <v>139</v>
      </c>
      <c r="I7" s="103" t="s">
        <v>201</v>
      </c>
    </row>
    <row r="8" spans="3:9" x14ac:dyDescent="0.25">
      <c r="C8" s="1" t="s">
        <v>14</v>
      </c>
      <c r="D8" s="65" t="s">
        <v>121</v>
      </c>
      <c r="E8" s="1" t="s">
        <v>123</v>
      </c>
      <c r="F8" s="1" t="s">
        <v>320</v>
      </c>
      <c r="G8" s="73" t="s">
        <v>128</v>
      </c>
      <c r="H8" s="5" t="s">
        <v>140</v>
      </c>
      <c r="I8" s="103" t="s">
        <v>202</v>
      </c>
    </row>
    <row r="9" spans="3:9" x14ac:dyDescent="0.25">
      <c r="C9" s="1" t="s">
        <v>16</v>
      </c>
      <c r="E9" s="1" t="s">
        <v>124</v>
      </c>
      <c r="F9" s="1" t="s">
        <v>321</v>
      </c>
      <c r="G9" s="5" t="s">
        <v>32</v>
      </c>
      <c r="H9" s="5" t="s">
        <v>141</v>
      </c>
      <c r="I9" s="5"/>
    </row>
    <row r="10" spans="3:9" x14ac:dyDescent="0.25">
      <c r="C10" s="1" t="s">
        <v>15</v>
      </c>
      <c r="E10" s="1" t="s">
        <v>125</v>
      </c>
      <c r="F10" s="1" t="s">
        <v>318</v>
      </c>
      <c r="H10" s="5" t="s">
        <v>142</v>
      </c>
    </row>
    <row r="11" spans="3:9" x14ac:dyDescent="0.25">
      <c r="E11" s="74" t="s">
        <v>129</v>
      </c>
      <c r="H11" s="5" t="s">
        <v>143</v>
      </c>
    </row>
    <row r="12" spans="3:9" x14ac:dyDescent="0.25">
      <c r="E12" s="5" t="s">
        <v>61</v>
      </c>
      <c r="H12" s="72"/>
    </row>
    <row r="20" spans="3:3" x14ac:dyDescent="0.25">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7" tint="0.59999389629810485"/>
  </sheetPr>
  <dimension ref="B2:F59"/>
  <sheetViews>
    <sheetView showGridLines="0" zoomScale="85" zoomScaleNormal="85" workbookViewId="0">
      <selection activeCell="D23" sqref="D23"/>
    </sheetView>
  </sheetViews>
  <sheetFormatPr defaultRowHeight="15" x14ac:dyDescent="0.25"/>
  <cols>
    <col min="2" max="2" width="23.5703125" customWidth="1"/>
    <col min="3" max="3" width="4.85546875" customWidth="1"/>
    <col min="4" max="4" width="24.85546875" customWidth="1"/>
    <col min="5" max="5" width="22.28515625" customWidth="1"/>
    <col min="6" max="6" width="13.140625" customWidth="1"/>
  </cols>
  <sheetData>
    <row r="2" spans="2:5" ht="18" x14ac:dyDescent="0.25">
      <c r="B2" s="84" t="s">
        <v>166</v>
      </c>
    </row>
    <row r="5" spans="2:5" x14ac:dyDescent="0.25">
      <c r="B5" s="3" t="s">
        <v>110</v>
      </c>
      <c r="C5" s="193" t="str">
        <f ca="1">MID(CELL("filename"),SEARCH("[",CELL("filename"))+1, SEARCH("]",CELL("filename"))-SEARCH("[",CELL("filename"))-6)</f>
        <v>TestDossierTool v1.0</v>
      </c>
      <c r="D5" s="193"/>
    </row>
    <row r="6" spans="2:5" ht="15.75" x14ac:dyDescent="0.3">
      <c r="B6" s="1" t="s">
        <v>101</v>
      </c>
      <c r="C6" s="191" t="s">
        <v>311</v>
      </c>
      <c r="D6" s="191"/>
      <c r="E6" s="167"/>
    </row>
    <row r="7" spans="2:5" ht="15.75" x14ac:dyDescent="0.3">
      <c r="B7" s="1" t="s">
        <v>102</v>
      </c>
      <c r="C7" s="187"/>
      <c r="D7" s="188"/>
      <c r="E7" s="167"/>
    </row>
    <row r="8" spans="2:5" x14ac:dyDescent="0.25">
      <c r="B8" s="1" t="s">
        <v>99</v>
      </c>
      <c r="C8" s="187"/>
      <c r="D8" s="188"/>
    </row>
    <row r="9" spans="2:5" x14ac:dyDescent="0.25">
      <c r="B9" s="1" t="s">
        <v>25</v>
      </c>
      <c r="C9" s="187"/>
      <c r="D9" s="188"/>
    </row>
    <row r="10" spans="2:5" x14ac:dyDescent="0.25">
      <c r="B10" s="1" t="s">
        <v>104</v>
      </c>
      <c r="C10" s="191" t="s">
        <v>61</v>
      </c>
      <c r="D10" s="191"/>
    </row>
    <row r="11" spans="2:5" x14ac:dyDescent="0.25">
      <c r="B11" s="1" t="s">
        <v>105</v>
      </c>
      <c r="C11" s="191"/>
      <c r="D11" s="191"/>
    </row>
    <row r="12" spans="2:5" x14ac:dyDescent="0.25">
      <c r="B12" s="1" t="s">
        <v>96</v>
      </c>
      <c r="C12" s="191"/>
      <c r="D12" s="191"/>
    </row>
    <row r="13" spans="2:5" x14ac:dyDescent="0.25">
      <c r="B13" s="1" t="s">
        <v>118</v>
      </c>
      <c r="C13" s="191"/>
      <c r="D13" s="191"/>
    </row>
    <row r="14" spans="2:5" x14ac:dyDescent="0.25">
      <c r="B14" s="5" t="s">
        <v>6</v>
      </c>
      <c r="C14" s="191" t="s">
        <v>128</v>
      </c>
      <c r="D14" s="191"/>
    </row>
    <row r="15" spans="2:5" x14ac:dyDescent="0.25">
      <c r="B15" s="5" t="s">
        <v>115</v>
      </c>
      <c r="C15" s="191" t="s">
        <v>106</v>
      </c>
      <c r="D15" s="191"/>
      <c r="E15" s="4"/>
    </row>
    <row r="16" spans="2:5" x14ac:dyDescent="0.25">
      <c r="B16" s="1" t="s">
        <v>108</v>
      </c>
      <c r="C16" s="191" t="s">
        <v>106</v>
      </c>
      <c r="D16" s="191"/>
      <c r="E16" s="4"/>
    </row>
    <row r="17" spans="2:6" x14ac:dyDescent="0.25">
      <c r="B17" s="65" t="s">
        <v>109</v>
      </c>
      <c r="C17" s="185" t="s">
        <v>121</v>
      </c>
      <c r="D17" s="10" t="s">
        <v>111</v>
      </c>
      <c r="E17" s="186"/>
    </row>
    <row r="18" spans="2:6" x14ac:dyDescent="0.25">
      <c r="B18" s="65" t="s">
        <v>107</v>
      </c>
      <c r="C18" s="185" t="s">
        <v>121</v>
      </c>
      <c r="D18" s="10" t="s">
        <v>112</v>
      </c>
      <c r="E18" s="186"/>
    </row>
    <row r="19" spans="2:6" x14ac:dyDescent="0.25">
      <c r="B19" s="65" t="s">
        <v>116</v>
      </c>
      <c r="C19" s="185" t="s">
        <v>121</v>
      </c>
      <c r="D19" s="10" t="s">
        <v>113</v>
      </c>
      <c r="E19" s="186"/>
    </row>
    <row r="20" spans="2:6" x14ac:dyDescent="0.25">
      <c r="B20" s="5" t="s">
        <v>119</v>
      </c>
      <c r="C20" s="212">
        <v>1</v>
      </c>
      <c r="D20" s="212"/>
    </row>
    <row r="25" spans="2:6" x14ac:dyDescent="0.25">
      <c r="B25" s="3" t="s">
        <v>81</v>
      </c>
      <c r="C25" s="192" t="s">
        <v>80</v>
      </c>
      <c r="D25" s="192"/>
      <c r="E25" s="3" t="s">
        <v>23</v>
      </c>
      <c r="F25" s="3" t="s">
        <v>26</v>
      </c>
    </row>
    <row r="26" spans="2:6" x14ac:dyDescent="0.25">
      <c r="B26" s="1" t="s">
        <v>168</v>
      </c>
      <c r="C26" s="187"/>
      <c r="D26" s="188"/>
      <c r="E26" s="1"/>
      <c r="F26" s="83"/>
    </row>
    <row r="27" spans="2:6" x14ac:dyDescent="0.25">
      <c r="B27" s="1"/>
      <c r="C27" s="187"/>
      <c r="D27" s="188"/>
      <c r="E27" s="1"/>
      <c r="F27" s="85"/>
    </row>
    <row r="28" spans="2:6" x14ac:dyDescent="0.25">
      <c r="C28" s="189"/>
      <c r="D28" s="189"/>
      <c r="F28" s="86"/>
    </row>
    <row r="29" spans="2:6" x14ac:dyDescent="0.25">
      <c r="C29" s="190"/>
      <c r="D29" s="190"/>
      <c r="F29" s="86"/>
    </row>
    <row r="30" spans="2:6" x14ac:dyDescent="0.25">
      <c r="C30" s="190"/>
      <c r="D30" s="190"/>
      <c r="F30" s="86"/>
    </row>
    <row r="31" spans="2:6" x14ac:dyDescent="0.25">
      <c r="C31" s="190"/>
      <c r="D31" s="190"/>
      <c r="F31" s="86"/>
    </row>
    <row r="32" spans="2:6" x14ac:dyDescent="0.25">
      <c r="C32" s="190"/>
      <c r="D32" s="190"/>
      <c r="F32" s="86"/>
    </row>
    <row r="33" spans="3:6" x14ac:dyDescent="0.25">
      <c r="C33" s="190"/>
      <c r="D33" s="190"/>
      <c r="F33" s="86"/>
    </row>
    <row r="34" spans="3:6" x14ac:dyDescent="0.25">
      <c r="C34" s="190"/>
      <c r="D34" s="190"/>
      <c r="F34" s="86"/>
    </row>
    <row r="35" spans="3:6" x14ac:dyDescent="0.25">
      <c r="C35" s="190"/>
      <c r="D35" s="190"/>
      <c r="F35" s="86"/>
    </row>
    <row r="36" spans="3:6" x14ac:dyDescent="0.25">
      <c r="C36" s="190"/>
      <c r="D36" s="190"/>
      <c r="F36" s="86"/>
    </row>
    <row r="37" spans="3:6" x14ac:dyDescent="0.25">
      <c r="C37" s="190"/>
      <c r="D37" s="190"/>
      <c r="F37" s="86"/>
    </row>
    <row r="38" spans="3:6" x14ac:dyDescent="0.25">
      <c r="C38" s="190"/>
      <c r="D38" s="190"/>
      <c r="F38" s="86"/>
    </row>
    <row r="39" spans="3:6" x14ac:dyDescent="0.25">
      <c r="C39" s="190"/>
      <c r="D39" s="190"/>
      <c r="F39" s="86"/>
    </row>
    <row r="40" spans="3:6" x14ac:dyDescent="0.25">
      <c r="C40" s="190"/>
      <c r="D40" s="190"/>
      <c r="F40" s="86"/>
    </row>
    <row r="41" spans="3:6" x14ac:dyDescent="0.25">
      <c r="C41" s="190"/>
      <c r="D41" s="190"/>
      <c r="F41" s="86"/>
    </row>
    <row r="42" spans="3:6" x14ac:dyDescent="0.25">
      <c r="C42" s="190"/>
      <c r="D42" s="190"/>
      <c r="F42" s="86"/>
    </row>
    <row r="43" spans="3:6" x14ac:dyDescent="0.25">
      <c r="C43" s="190"/>
      <c r="D43" s="190"/>
      <c r="F43" s="86"/>
    </row>
    <row r="44" spans="3:6" x14ac:dyDescent="0.25">
      <c r="C44" s="190"/>
      <c r="D44" s="190"/>
      <c r="F44" s="86"/>
    </row>
    <row r="45" spans="3:6" x14ac:dyDescent="0.25">
      <c r="F45" s="86"/>
    </row>
    <row r="46" spans="3:6" x14ac:dyDescent="0.25">
      <c r="F46" s="86"/>
    </row>
    <row r="47" spans="3:6" x14ac:dyDescent="0.25">
      <c r="F47" s="86"/>
    </row>
    <row r="48" spans="3:6" x14ac:dyDescent="0.25">
      <c r="F48" s="86"/>
    </row>
    <row r="49" spans="6:6" x14ac:dyDescent="0.25">
      <c r="F49" s="86"/>
    </row>
    <row r="50" spans="6:6" x14ac:dyDescent="0.25">
      <c r="F50" s="86"/>
    </row>
    <row r="51" spans="6:6" x14ac:dyDescent="0.25">
      <c r="F51" s="86"/>
    </row>
    <row r="52" spans="6:6" x14ac:dyDescent="0.25">
      <c r="F52" s="86"/>
    </row>
    <row r="53" spans="6:6" x14ac:dyDescent="0.25">
      <c r="F53" s="86"/>
    </row>
    <row r="54" spans="6:6" x14ac:dyDescent="0.25">
      <c r="F54" s="86"/>
    </row>
    <row r="55" spans="6:6" x14ac:dyDescent="0.25">
      <c r="F55" s="86"/>
    </row>
    <row r="56" spans="6:6" x14ac:dyDescent="0.25">
      <c r="F56" s="86"/>
    </row>
    <row r="57" spans="6:6" x14ac:dyDescent="0.25">
      <c r="F57" s="86"/>
    </row>
    <row r="58" spans="6:6" x14ac:dyDescent="0.25">
      <c r="F58" s="86"/>
    </row>
    <row r="59" spans="6:6" x14ac:dyDescent="0.25">
      <c r="F59" s="86"/>
    </row>
  </sheetData>
  <mergeCells count="33">
    <mergeCell ref="C26:D26"/>
    <mergeCell ref="C13:D13"/>
    <mergeCell ref="C25:D25"/>
    <mergeCell ref="C5:D5"/>
    <mergeCell ref="C20:D20"/>
    <mergeCell ref="C10:D10"/>
    <mergeCell ref="C9:D9"/>
    <mergeCell ref="C8:D8"/>
    <mergeCell ref="C7:D7"/>
    <mergeCell ref="C6:D6"/>
    <mergeCell ref="C16:D16"/>
    <mergeCell ref="C15:D15"/>
    <mergeCell ref="C14:D14"/>
    <mergeCell ref="C12:D12"/>
    <mergeCell ref="C11:D11"/>
    <mergeCell ref="C42:D42"/>
    <mergeCell ref="C43:D43"/>
    <mergeCell ref="C44:D44"/>
    <mergeCell ref="C37:D37"/>
    <mergeCell ref="C38:D38"/>
    <mergeCell ref="C41:D41"/>
    <mergeCell ref="C40:D40"/>
    <mergeCell ref="C39:D39"/>
    <mergeCell ref="C33:D33"/>
    <mergeCell ref="C34:D34"/>
    <mergeCell ref="C35:D35"/>
    <mergeCell ref="C36:D36"/>
    <mergeCell ref="C32:D32"/>
    <mergeCell ref="C27:D27"/>
    <mergeCell ref="C28:D28"/>
    <mergeCell ref="C31:D31"/>
    <mergeCell ref="C30:D30"/>
    <mergeCell ref="C29:D29"/>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C17:C19</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3" tint="0.59999389629810485"/>
  </sheetPr>
  <dimension ref="A2:Z58"/>
  <sheetViews>
    <sheetView showGridLines="0" zoomScale="55" zoomScaleNormal="55" workbookViewId="0">
      <selection activeCell="J43" sqref="J43"/>
    </sheetView>
  </sheetViews>
  <sheetFormatPr defaultColWidth="18.85546875" defaultRowHeight="15" x14ac:dyDescent="0.25"/>
  <cols>
    <col min="1" max="1" width="6" customWidth="1"/>
    <col min="2" max="2" width="7.5703125" customWidth="1"/>
    <col min="4" max="4" width="31.5703125" customWidth="1"/>
    <col min="5" max="12" width="20.140625" customWidth="1"/>
    <col min="13" max="13" width="12.85546875" customWidth="1"/>
    <col min="14" max="14" width="25.5703125" customWidth="1"/>
  </cols>
  <sheetData>
    <row r="2" spans="1:26" ht="18" x14ac:dyDescent="0.25">
      <c r="C2" s="23" t="s">
        <v>210</v>
      </c>
    </row>
    <row r="7" spans="1:26" x14ac:dyDescent="0.25">
      <c r="A7" s="148"/>
      <c r="C7" s="127" t="s">
        <v>13</v>
      </c>
      <c r="D7" s="127" t="s">
        <v>17</v>
      </c>
      <c r="E7" s="195" t="s">
        <v>9</v>
      </c>
      <c r="F7" s="196"/>
      <c r="G7" s="196"/>
      <c r="H7" s="196"/>
      <c r="I7" s="196"/>
      <c r="J7" s="196"/>
      <c r="K7" s="196"/>
      <c r="L7" s="197"/>
    </row>
    <row r="8" spans="1:26" x14ac:dyDescent="0.25">
      <c r="A8" s="162"/>
      <c r="C8" s="112" t="s">
        <v>14</v>
      </c>
      <c r="D8" s="140" t="s">
        <v>277</v>
      </c>
      <c r="E8" s="112" t="s">
        <v>270</v>
      </c>
      <c r="F8" s="112" t="s">
        <v>271</v>
      </c>
      <c r="G8" s="112"/>
      <c r="H8" s="140"/>
      <c r="I8" s="112"/>
      <c r="J8" s="112"/>
      <c r="K8" s="112"/>
      <c r="L8" s="112"/>
    </row>
    <row r="9" spans="1:26" s="113" customFormat="1" x14ac:dyDescent="0.25">
      <c r="A9" s="139"/>
      <c r="C9" s="112" t="s">
        <v>130</v>
      </c>
      <c r="D9" s="140" t="s">
        <v>269</v>
      </c>
      <c r="E9" s="112" t="s">
        <v>265</v>
      </c>
      <c r="F9" s="112"/>
      <c r="G9" s="140"/>
      <c r="H9" s="140"/>
      <c r="I9" s="112"/>
      <c r="J9" s="112"/>
      <c r="K9" s="112"/>
      <c r="L9" s="112"/>
    </row>
    <row r="10" spans="1:26" s="113" customFormat="1" x14ac:dyDescent="0.25">
      <c r="A10" s="139"/>
      <c r="C10" s="112" t="s">
        <v>16</v>
      </c>
      <c r="D10" s="140" t="s">
        <v>268</v>
      </c>
      <c r="E10" s="140" t="s">
        <v>266</v>
      </c>
      <c r="F10" s="112" t="s">
        <v>267</v>
      </c>
      <c r="G10" s="140"/>
      <c r="H10" s="140"/>
      <c r="I10" s="112"/>
      <c r="J10" s="112"/>
      <c r="K10" s="112"/>
      <c r="L10" s="112"/>
    </row>
    <row r="11" spans="1:26" s="177" customFormat="1" x14ac:dyDescent="0.25">
      <c r="A11" s="139"/>
      <c r="C11" s="141"/>
      <c r="D11" s="142"/>
      <c r="E11" s="142"/>
      <c r="F11" s="141"/>
      <c r="G11" s="142"/>
      <c r="H11" s="142"/>
      <c r="I11" s="141"/>
      <c r="J11" s="141"/>
      <c r="K11" s="141"/>
      <c r="L11" s="141"/>
    </row>
    <row r="12" spans="1:26" s="168" customFormat="1" x14ac:dyDescent="0.25">
      <c r="J12" s="4"/>
      <c r="K12" s="4"/>
      <c r="L12" s="4"/>
      <c r="M12" s="4"/>
      <c r="N12" s="4"/>
      <c r="O12" s="4"/>
      <c r="P12" s="4"/>
      <c r="Q12" s="4"/>
      <c r="R12" s="4"/>
      <c r="S12" s="4"/>
      <c r="T12" s="4"/>
      <c r="U12" s="4"/>
      <c r="V12" s="4"/>
      <c r="W12" s="4"/>
      <c r="X12" s="4"/>
      <c r="Y12" s="4"/>
      <c r="Z12" s="4"/>
    </row>
    <row r="13" spans="1:26" s="177" customFormat="1" x14ac:dyDescent="0.25">
      <c r="B13" s="131" t="s">
        <v>237</v>
      </c>
      <c r="E13" s="18" t="s">
        <v>222</v>
      </c>
      <c r="F13" s="18" t="s">
        <v>223</v>
      </c>
      <c r="J13" s="4"/>
      <c r="K13" s="4"/>
      <c r="L13" s="4"/>
      <c r="M13" s="4"/>
      <c r="N13" s="4"/>
      <c r="O13" s="4"/>
      <c r="P13" s="4"/>
      <c r="Q13" s="4"/>
      <c r="R13" s="4"/>
      <c r="S13" s="4"/>
      <c r="T13" s="4"/>
      <c r="U13" s="4"/>
      <c r="V13" s="4"/>
      <c r="W13" s="4"/>
      <c r="X13" s="4"/>
      <c r="Y13" s="4"/>
      <c r="Z13" s="4"/>
    </row>
    <row r="14" spans="1:26" s="168" customFormat="1" x14ac:dyDescent="0.25">
      <c r="C14" s="176" t="s">
        <v>19</v>
      </c>
      <c r="D14" s="176" t="s">
        <v>270</v>
      </c>
      <c r="E14" s="11" t="s">
        <v>4</v>
      </c>
      <c r="F14" s="11" t="s">
        <v>5</v>
      </c>
      <c r="J14" s="4"/>
      <c r="K14" s="4"/>
      <c r="L14" s="4"/>
      <c r="M14" s="4"/>
      <c r="N14" s="4"/>
      <c r="O14" s="4"/>
      <c r="P14" s="4"/>
      <c r="Q14" s="4"/>
      <c r="R14" s="4"/>
      <c r="S14" s="4"/>
      <c r="T14" s="4"/>
      <c r="U14" s="4"/>
      <c r="V14" s="4"/>
      <c r="W14" s="4"/>
      <c r="X14" s="4"/>
      <c r="Y14" s="4"/>
      <c r="Z14" s="4"/>
    </row>
    <row r="15" spans="1:26" s="177" customFormat="1" x14ac:dyDescent="0.25">
      <c r="C15" s="176" t="s">
        <v>196</v>
      </c>
      <c r="D15" s="176" t="s">
        <v>271</v>
      </c>
      <c r="E15" s="176" t="s">
        <v>5</v>
      </c>
      <c r="F15" s="176" t="s">
        <v>4</v>
      </c>
      <c r="J15" s="4"/>
      <c r="K15" s="4"/>
      <c r="L15" s="4"/>
      <c r="M15" s="4"/>
      <c r="N15" s="4"/>
      <c r="O15" s="4"/>
      <c r="P15" s="4"/>
      <c r="Q15" s="4"/>
      <c r="R15" s="4"/>
      <c r="S15" s="4"/>
      <c r="T15" s="4"/>
      <c r="U15" s="4"/>
      <c r="V15" s="4"/>
      <c r="W15" s="4"/>
      <c r="X15" s="4"/>
      <c r="Y15" s="4"/>
      <c r="Z15" s="4"/>
    </row>
    <row r="16" spans="1:26" s="177" customFormat="1" x14ac:dyDescent="0.25">
      <c r="J16" s="4"/>
      <c r="K16" s="4"/>
      <c r="L16" s="4"/>
      <c r="M16" s="4"/>
      <c r="N16" s="4"/>
      <c r="O16" s="4"/>
      <c r="P16" s="4"/>
      <c r="Q16" s="4"/>
      <c r="R16" s="4"/>
      <c r="S16" s="4"/>
      <c r="T16" s="4"/>
      <c r="U16" s="4"/>
      <c r="V16" s="4"/>
      <c r="W16" s="4"/>
      <c r="X16" s="4"/>
      <c r="Y16" s="4"/>
      <c r="Z16" s="4"/>
    </row>
    <row r="17" spans="1:26" s="177" customFormat="1" x14ac:dyDescent="0.25">
      <c r="B17" s="131" t="s">
        <v>236</v>
      </c>
      <c r="E17" s="18" t="s">
        <v>224</v>
      </c>
      <c r="F17" s="18" t="s">
        <v>225</v>
      </c>
      <c r="J17" s="4"/>
      <c r="K17" s="4"/>
      <c r="L17" s="4"/>
      <c r="M17" s="4"/>
      <c r="N17" s="4"/>
      <c r="O17" s="4"/>
      <c r="P17" s="4"/>
      <c r="Q17" s="4"/>
      <c r="R17" s="4"/>
      <c r="S17" s="4"/>
      <c r="T17" s="4"/>
      <c r="U17" s="4"/>
      <c r="V17" s="4"/>
      <c r="W17" s="4"/>
      <c r="X17" s="4"/>
      <c r="Y17" s="4"/>
      <c r="Z17" s="4"/>
    </row>
    <row r="18" spans="1:26" s="177" customFormat="1" x14ac:dyDescent="0.25">
      <c r="C18" s="176" t="s">
        <v>10</v>
      </c>
      <c r="D18" s="176" t="s">
        <v>265</v>
      </c>
      <c r="E18" s="11" t="s">
        <v>4</v>
      </c>
      <c r="F18" s="11" t="s">
        <v>5</v>
      </c>
      <c r="J18" s="4"/>
      <c r="K18" s="4"/>
      <c r="L18" s="4"/>
      <c r="M18" s="4"/>
      <c r="N18" s="4"/>
      <c r="O18" s="4"/>
      <c r="P18" s="4"/>
      <c r="Q18" s="4"/>
      <c r="R18" s="4"/>
      <c r="S18" s="4"/>
      <c r="T18" s="4"/>
      <c r="U18" s="4"/>
      <c r="V18" s="4"/>
      <c r="W18" s="4"/>
      <c r="X18" s="4"/>
      <c r="Y18" s="4"/>
      <c r="Z18" s="4"/>
    </row>
    <row r="19" spans="1:26" s="177" customFormat="1" x14ac:dyDescent="0.25">
      <c r="J19" s="4"/>
      <c r="K19" s="4"/>
      <c r="L19" s="4"/>
      <c r="M19" s="4"/>
      <c r="N19" s="4"/>
      <c r="O19" s="4"/>
      <c r="P19" s="4"/>
      <c r="Q19" s="4"/>
      <c r="R19" s="4"/>
      <c r="S19" s="4"/>
      <c r="T19" s="4"/>
      <c r="U19" s="4"/>
      <c r="V19" s="4"/>
      <c r="W19" s="4"/>
      <c r="X19" s="4"/>
      <c r="Y19" s="4"/>
      <c r="Z19" s="4"/>
    </row>
    <row r="20" spans="1:26" s="177" customFormat="1" x14ac:dyDescent="0.25">
      <c r="B20" s="131" t="s">
        <v>239</v>
      </c>
      <c r="E20" s="18" t="s">
        <v>226</v>
      </c>
      <c r="F20" s="18" t="s">
        <v>227</v>
      </c>
      <c r="G20" s="18" t="s">
        <v>228</v>
      </c>
      <c r="J20" s="4"/>
      <c r="K20" s="4"/>
      <c r="L20" s="4"/>
      <c r="M20" s="4"/>
      <c r="N20" s="4"/>
      <c r="O20" s="4"/>
      <c r="P20" s="4"/>
      <c r="Q20" s="4"/>
      <c r="R20" s="4"/>
      <c r="S20" s="4"/>
      <c r="T20" s="4"/>
      <c r="U20" s="4"/>
      <c r="V20" s="4"/>
      <c r="W20" s="4"/>
      <c r="X20" s="4"/>
      <c r="Y20" s="4"/>
      <c r="Z20" s="4"/>
    </row>
    <row r="21" spans="1:26" s="177" customFormat="1" x14ac:dyDescent="0.25">
      <c r="C21" s="176" t="s">
        <v>11</v>
      </c>
      <c r="D21" s="176" t="s">
        <v>266</v>
      </c>
      <c r="E21" s="11" t="s">
        <v>4</v>
      </c>
      <c r="F21" s="11" t="s">
        <v>5</v>
      </c>
      <c r="G21" s="11" t="s">
        <v>5</v>
      </c>
      <c r="J21" s="4"/>
      <c r="K21" s="4"/>
      <c r="L21" s="4"/>
      <c r="M21" s="4"/>
      <c r="N21" s="4"/>
      <c r="O21" s="4"/>
      <c r="P21" s="4"/>
      <c r="Q21" s="4"/>
      <c r="R21" s="4"/>
      <c r="S21" s="4"/>
      <c r="T21" s="4"/>
      <c r="U21" s="4"/>
      <c r="V21" s="4"/>
      <c r="W21" s="4"/>
      <c r="X21" s="4"/>
      <c r="Y21" s="4"/>
      <c r="Z21" s="4"/>
    </row>
    <row r="22" spans="1:26" s="177" customFormat="1" x14ac:dyDescent="0.25">
      <c r="C22" s="176" t="s">
        <v>12</v>
      </c>
      <c r="D22" s="176" t="s">
        <v>267</v>
      </c>
      <c r="E22" s="176" t="s">
        <v>5</v>
      </c>
      <c r="F22" s="176" t="s">
        <v>4</v>
      </c>
      <c r="G22" s="176" t="s">
        <v>5</v>
      </c>
      <c r="J22" s="4"/>
      <c r="K22" s="4"/>
      <c r="L22" s="4"/>
      <c r="M22" s="4"/>
      <c r="N22" s="4"/>
      <c r="O22" s="4"/>
      <c r="P22" s="4"/>
      <c r="Q22" s="4"/>
      <c r="R22" s="4"/>
      <c r="S22" s="4"/>
      <c r="T22" s="4"/>
      <c r="U22" s="4"/>
      <c r="V22" s="4"/>
      <c r="W22" s="4"/>
      <c r="X22" s="4"/>
      <c r="Y22" s="4"/>
      <c r="Z22" s="4"/>
    </row>
    <row r="23" spans="1:26" s="177" customFormat="1" x14ac:dyDescent="0.25">
      <c r="J23" s="4"/>
      <c r="K23" s="4"/>
      <c r="L23" s="4"/>
      <c r="M23" s="4"/>
      <c r="N23" s="4"/>
      <c r="O23" s="4"/>
      <c r="P23" s="4"/>
      <c r="Q23" s="4"/>
      <c r="R23" s="4"/>
      <c r="S23" s="4"/>
      <c r="T23" s="4"/>
      <c r="U23" s="4"/>
      <c r="V23" s="4"/>
      <c r="W23" s="4"/>
      <c r="X23" s="4"/>
      <c r="Y23" s="4"/>
      <c r="Z23" s="4"/>
    </row>
    <row r="24" spans="1:26" s="177" customFormat="1" x14ac:dyDescent="0.25">
      <c r="J24" s="4"/>
      <c r="K24" s="4"/>
      <c r="L24" s="4"/>
      <c r="M24" s="4"/>
      <c r="N24" s="4"/>
      <c r="O24" s="4"/>
      <c r="P24" s="4"/>
      <c r="Q24" s="4"/>
      <c r="R24" s="4"/>
      <c r="S24" s="4"/>
      <c r="T24" s="4"/>
      <c r="U24" s="4"/>
      <c r="V24" s="4"/>
      <c r="W24" s="4"/>
      <c r="X24" s="4"/>
      <c r="Y24" s="4"/>
      <c r="Z24" s="4"/>
    </row>
    <row r="25" spans="1:26" s="177" customFormat="1" x14ac:dyDescent="0.25">
      <c r="J25" s="4"/>
      <c r="K25" s="4"/>
      <c r="L25" s="4"/>
      <c r="M25" s="4"/>
      <c r="N25" s="4"/>
      <c r="O25" s="4"/>
      <c r="P25" s="4"/>
      <c r="Q25" s="4"/>
      <c r="R25" s="4"/>
      <c r="S25" s="4"/>
      <c r="T25" s="4"/>
      <c r="U25" s="4"/>
      <c r="V25" s="4"/>
      <c r="W25" s="4"/>
      <c r="X25" s="4"/>
      <c r="Y25" s="4"/>
      <c r="Z25" s="4"/>
    </row>
    <row r="26" spans="1:26" s="136" customFormat="1" x14ac:dyDescent="0.25">
      <c r="I26" s="151"/>
      <c r="J26" s="4"/>
      <c r="K26" s="4"/>
      <c r="L26" s="4"/>
      <c r="M26" s="4"/>
      <c r="N26" s="4"/>
      <c r="O26" s="4"/>
      <c r="P26" s="4"/>
      <c r="Q26" s="4"/>
      <c r="R26" s="4"/>
      <c r="S26" s="4"/>
      <c r="T26" s="4"/>
      <c r="U26" s="4"/>
      <c r="V26" s="4"/>
      <c r="W26" s="4"/>
      <c r="X26" s="4"/>
      <c r="Y26" s="4"/>
      <c r="Z26" s="4"/>
    </row>
    <row r="27" spans="1:26" x14ac:dyDescent="0.25">
      <c r="A27" s="148"/>
      <c r="C27" s="127" t="s">
        <v>8</v>
      </c>
      <c r="D27" s="127" t="s">
        <v>6</v>
      </c>
      <c r="E27" s="92" t="s">
        <v>93</v>
      </c>
      <c r="F27" s="92" t="s">
        <v>2</v>
      </c>
      <c r="G27" s="92" t="s">
        <v>3</v>
      </c>
      <c r="H27" s="168"/>
      <c r="I27" s="151"/>
      <c r="J27" s="4"/>
      <c r="K27" s="4"/>
      <c r="L27" s="4"/>
      <c r="M27" s="4"/>
      <c r="N27" s="9"/>
      <c r="O27" s="4"/>
      <c r="P27" s="4"/>
      <c r="Q27" s="4"/>
      <c r="R27" s="4"/>
      <c r="S27" s="4"/>
      <c r="T27" s="4"/>
      <c r="U27" s="4"/>
      <c r="V27" s="4"/>
      <c r="W27" s="4"/>
      <c r="X27" s="4"/>
      <c r="Y27" s="4"/>
      <c r="Z27" s="4"/>
    </row>
    <row r="28" spans="1:26" x14ac:dyDescent="0.25">
      <c r="A28" s="162"/>
      <c r="C28" s="112" t="s">
        <v>231</v>
      </c>
      <c r="D28" s="112"/>
      <c r="E28" s="112" t="s">
        <v>222</v>
      </c>
      <c r="F28" s="112" t="s">
        <v>0</v>
      </c>
      <c r="G28" s="158" t="s">
        <v>1</v>
      </c>
      <c r="H28" s="168"/>
      <c r="I28" s="151"/>
      <c r="N28" s="4"/>
      <c r="O28" s="9"/>
      <c r="P28" s="4"/>
      <c r="Q28" s="4"/>
      <c r="R28" s="4"/>
      <c r="S28" s="4"/>
      <c r="T28" s="4"/>
      <c r="U28" s="4"/>
      <c r="V28" s="4"/>
      <c r="W28" s="4"/>
      <c r="X28" s="4"/>
      <c r="Y28" s="4"/>
      <c r="Z28" s="4"/>
    </row>
    <row r="29" spans="1:26" s="163" customFormat="1" x14ac:dyDescent="0.25">
      <c r="A29" s="139"/>
      <c r="C29" s="112" t="s">
        <v>238</v>
      </c>
      <c r="D29" s="112"/>
      <c r="E29" s="112" t="s">
        <v>224</v>
      </c>
      <c r="F29" s="112"/>
      <c r="G29" s="112" t="s">
        <v>212</v>
      </c>
      <c r="H29" s="168"/>
      <c r="N29" s="4"/>
      <c r="O29" s="9"/>
      <c r="P29" s="4"/>
      <c r="Q29" s="4"/>
      <c r="R29" s="4"/>
      <c r="S29" s="4"/>
      <c r="T29" s="4"/>
      <c r="U29" s="4"/>
      <c r="V29" s="4"/>
      <c r="W29" s="4"/>
      <c r="X29" s="4"/>
      <c r="Y29" s="4"/>
      <c r="Z29" s="4"/>
    </row>
    <row r="30" spans="1:26" s="163" customFormat="1" x14ac:dyDescent="0.25">
      <c r="A30" s="139"/>
      <c r="C30" s="112" t="s">
        <v>257</v>
      </c>
      <c r="D30" s="112" t="s">
        <v>264</v>
      </c>
      <c r="E30" s="112" t="s">
        <v>279</v>
      </c>
      <c r="F30" s="112" t="s">
        <v>213</v>
      </c>
      <c r="G30" s="158"/>
      <c r="H30" s="168"/>
      <c r="N30" s="4"/>
      <c r="O30" s="9"/>
      <c r="P30" s="4"/>
      <c r="Q30" s="4"/>
      <c r="R30" s="4"/>
      <c r="S30" s="4"/>
      <c r="T30" s="4"/>
      <c r="U30" s="4"/>
      <c r="V30" s="4"/>
      <c r="W30" s="4"/>
      <c r="X30" s="4"/>
      <c r="Y30" s="4"/>
      <c r="Z30" s="4"/>
    </row>
    <row r="31" spans="1:26" s="163" customFormat="1" x14ac:dyDescent="0.25">
      <c r="A31" s="139"/>
      <c r="C31" s="112" t="s">
        <v>258</v>
      </c>
      <c r="D31" s="112"/>
      <c r="E31" s="112" t="s">
        <v>316</v>
      </c>
      <c r="F31" s="112" t="s">
        <v>348</v>
      </c>
      <c r="G31" s="158"/>
      <c r="H31" s="168"/>
      <c r="N31" s="4"/>
      <c r="O31" s="9"/>
      <c r="P31" s="4"/>
      <c r="Q31" s="4"/>
      <c r="R31" s="4"/>
      <c r="S31" s="4"/>
      <c r="T31" s="4"/>
      <c r="U31" s="4"/>
      <c r="V31" s="4"/>
      <c r="W31" s="4"/>
      <c r="X31" s="4"/>
      <c r="Y31" s="4"/>
      <c r="Z31" s="4"/>
    </row>
    <row r="32" spans="1:26" s="163" customFormat="1" x14ac:dyDescent="0.25">
      <c r="A32" s="139"/>
      <c r="C32" s="112" t="s">
        <v>259</v>
      </c>
      <c r="D32" s="112" t="s">
        <v>280</v>
      </c>
      <c r="E32" s="112" t="s">
        <v>317</v>
      </c>
      <c r="F32" s="112"/>
      <c r="G32" s="158"/>
      <c r="H32" s="168"/>
      <c r="N32" s="4"/>
      <c r="O32" s="9"/>
      <c r="P32" s="4"/>
      <c r="Q32" s="4"/>
      <c r="R32" s="4"/>
      <c r="S32" s="4"/>
      <c r="T32" s="4"/>
      <c r="U32" s="4"/>
      <c r="V32" s="4"/>
      <c r="W32" s="4"/>
      <c r="X32" s="4"/>
      <c r="Y32" s="4"/>
      <c r="Z32" s="4"/>
    </row>
    <row r="33" spans="1:20" x14ac:dyDescent="0.25">
      <c r="C33" s="2"/>
      <c r="H33" s="168"/>
      <c r="I33" s="151"/>
      <c r="J33" s="8"/>
      <c r="K33" s="8"/>
      <c r="L33" s="8"/>
      <c r="M33" s="8"/>
      <c r="N33" s="4"/>
      <c r="O33" s="4"/>
      <c r="P33" s="4"/>
      <c r="Q33" s="4"/>
      <c r="R33" s="4"/>
      <c r="S33" s="4"/>
      <c r="T33" s="4"/>
    </row>
    <row r="34" spans="1:20" s="113" customFormat="1" x14ac:dyDescent="0.25">
      <c r="C34" s="2"/>
      <c r="H34" s="168"/>
      <c r="I34" s="151"/>
      <c r="J34" s="8"/>
      <c r="K34" s="8"/>
      <c r="L34" s="8"/>
      <c r="M34" s="8"/>
      <c r="N34" s="4"/>
      <c r="O34" s="4"/>
      <c r="P34" s="4"/>
      <c r="Q34" s="4"/>
      <c r="R34" s="4"/>
      <c r="S34" s="4"/>
      <c r="T34" s="4"/>
    </row>
    <row r="35" spans="1:20" x14ac:dyDescent="0.25">
      <c r="A35" s="148"/>
      <c r="C35" s="127" t="s">
        <v>7</v>
      </c>
      <c r="D35" s="127" t="s">
        <v>20</v>
      </c>
      <c r="H35" s="168"/>
      <c r="I35" s="151"/>
      <c r="J35" s="6"/>
      <c r="K35" s="194"/>
      <c r="L35" s="194"/>
      <c r="M35" s="4"/>
      <c r="N35" s="4"/>
      <c r="O35" s="4"/>
      <c r="P35" s="4"/>
      <c r="Q35" s="4"/>
      <c r="R35" s="4"/>
      <c r="S35" s="4"/>
      <c r="T35" s="4"/>
    </row>
    <row r="36" spans="1:20" s="154" customFormat="1" x14ac:dyDescent="0.25">
      <c r="A36" s="161"/>
      <c r="C36" s="112" t="s">
        <v>0</v>
      </c>
      <c r="D36" s="143" t="s">
        <v>272</v>
      </c>
      <c r="H36" s="168"/>
      <c r="J36" s="6"/>
      <c r="K36" s="155"/>
      <c r="L36" s="155"/>
      <c r="M36" s="4"/>
      <c r="N36" s="4"/>
      <c r="O36" s="4"/>
      <c r="P36" s="4"/>
      <c r="Q36" s="4"/>
      <c r="R36" s="4"/>
      <c r="S36" s="4"/>
      <c r="T36" s="4"/>
    </row>
    <row r="37" spans="1:20" s="177" customFormat="1" x14ac:dyDescent="0.25">
      <c r="A37" s="160"/>
      <c r="C37" s="112" t="s">
        <v>1</v>
      </c>
      <c r="D37" s="143" t="s">
        <v>314</v>
      </c>
      <c r="J37" s="6"/>
      <c r="K37" s="178"/>
      <c r="L37" s="178"/>
      <c r="M37" s="4"/>
      <c r="N37" s="4"/>
      <c r="O37" s="4"/>
      <c r="P37" s="4"/>
      <c r="Q37" s="4"/>
      <c r="R37" s="4"/>
      <c r="S37" s="4"/>
      <c r="T37" s="4"/>
    </row>
    <row r="38" spans="1:20" s="154" customFormat="1" x14ac:dyDescent="0.25">
      <c r="A38" s="160"/>
      <c r="C38" s="112" t="s">
        <v>212</v>
      </c>
      <c r="D38" s="143" t="s">
        <v>315</v>
      </c>
      <c r="J38" s="6"/>
      <c r="K38" s="155"/>
      <c r="L38" s="155"/>
      <c r="M38" s="4"/>
      <c r="N38" s="4"/>
      <c r="O38" s="4"/>
      <c r="P38" s="4"/>
      <c r="Q38" s="4"/>
      <c r="R38" s="4"/>
      <c r="S38" s="4"/>
      <c r="T38" s="4"/>
    </row>
    <row r="39" spans="1:20" s="154" customFormat="1" x14ac:dyDescent="0.25">
      <c r="A39" s="160"/>
      <c r="C39" s="112" t="s">
        <v>213</v>
      </c>
      <c r="D39" s="143" t="s">
        <v>273</v>
      </c>
      <c r="J39" s="6"/>
      <c r="K39" s="155"/>
      <c r="L39" s="155"/>
      <c r="M39" s="4"/>
      <c r="N39" s="4"/>
      <c r="O39" s="4"/>
      <c r="P39" s="4"/>
      <c r="Q39" s="4"/>
      <c r="R39" s="4"/>
      <c r="S39" s="4"/>
      <c r="T39" s="4"/>
    </row>
    <row r="40" spans="1:20" s="154" customFormat="1" x14ac:dyDescent="0.25">
      <c r="A40" s="160"/>
      <c r="C40" s="112" t="s">
        <v>215</v>
      </c>
      <c r="D40" s="143" t="s">
        <v>282</v>
      </c>
      <c r="J40" s="6"/>
      <c r="K40" s="155"/>
      <c r="L40" s="155"/>
      <c r="M40" s="4"/>
      <c r="N40" s="4"/>
      <c r="O40" s="4"/>
      <c r="P40" s="4"/>
      <c r="Q40" s="4"/>
      <c r="R40" s="4"/>
      <c r="S40" s="4"/>
      <c r="T40" s="4"/>
    </row>
    <row r="41" spans="1:20" s="156" customFormat="1" x14ac:dyDescent="0.25">
      <c r="A41" s="160"/>
      <c r="C41" s="112" t="s">
        <v>276</v>
      </c>
      <c r="D41" s="143" t="s">
        <v>275</v>
      </c>
      <c r="J41" s="6"/>
      <c r="K41" s="157"/>
      <c r="L41" s="157"/>
      <c r="M41" s="4"/>
      <c r="N41" s="4"/>
      <c r="O41" s="4"/>
      <c r="P41" s="4"/>
      <c r="Q41" s="4"/>
      <c r="R41" s="4"/>
      <c r="S41" s="4"/>
      <c r="T41" s="4"/>
    </row>
    <row r="42" spans="1:20" s="177" customFormat="1" x14ac:dyDescent="0.25">
      <c r="A42" s="160"/>
      <c r="C42" s="112" t="s">
        <v>281</v>
      </c>
      <c r="D42" s="10" t="s">
        <v>274</v>
      </c>
      <c r="J42" s="6"/>
      <c r="K42" s="178"/>
      <c r="L42" s="178"/>
      <c r="M42" s="4"/>
      <c r="N42" s="4"/>
      <c r="O42" s="4"/>
      <c r="P42" s="4"/>
      <c r="Q42" s="4"/>
      <c r="R42" s="4"/>
      <c r="S42" s="4"/>
      <c r="T42" s="4"/>
    </row>
    <row r="43" spans="1:20" s="154" customFormat="1" x14ac:dyDescent="0.25">
      <c r="C43" s="159"/>
      <c r="D43" s="159"/>
      <c r="J43" s="4"/>
      <c r="K43" s="4"/>
      <c r="L43" s="4"/>
      <c r="M43" s="4"/>
      <c r="N43" s="4"/>
      <c r="O43" s="4"/>
      <c r="P43" s="4"/>
      <c r="Q43" s="4"/>
      <c r="R43" s="4"/>
      <c r="S43" s="4"/>
      <c r="T43" s="4"/>
    </row>
    <row r="44" spans="1:20" s="113" customFormat="1" x14ac:dyDescent="0.25">
      <c r="A44" s="154"/>
      <c r="C44" s="100"/>
      <c r="D44" s="48"/>
    </row>
    <row r="45" spans="1:20" x14ac:dyDescent="0.25">
      <c r="E45" t="s">
        <v>349</v>
      </c>
      <c r="F45" t="s">
        <v>350</v>
      </c>
      <c r="G45" t="s">
        <v>351</v>
      </c>
    </row>
    <row r="46" spans="1:20" x14ac:dyDescent="0.25">
      <c r="E46" s="18" t="s">
        <v>232</v>
      </c>
      <c r="F46" s="18" t="s">
        <v>233</v>
      </c>
      <c r="G46" s="18" t="s">
        <v>234</v>
      </c>
    </row>
    <row r="47" spans="1:20" x14ac:dyDescent="0.25">
      <c r="C47" s="182" t="s">
        <v>19</v>
      </c>
      <c r="D47" s="182" t="s">
        <v>270</v>
      </c>
      <c r="E47" s="11" t="s">
        <v>5</v>
      </c>
      <c r="F47" s="11" t="s">
        <v>4</v>
      </c>
      <c r="G47" s="11" t="s">
        <v>5</v>
      </c>
    </row>
    <row r="48" spans="1:20" x14ac:dyDescent="0.25">
      <c r="C48" s="182" t="s">
        <v>196</v>
      </c>
      <c r="D48" s="182" t="s">
        <v>271</v>
      </c>
      <c r="E48" s="182" t="s">
        <v>4</v>
      </c>
      <c r="F48" s="182" t="s">
        <v>5</v>
      </c>
      <c r="G48" s="182" t="s">
        <v>4</v>
      </c>
    </row>
    <row r="49" spans="3:7" x14ac:dyDescent="0.25">
      <c r="C49" s="182" t="s">
        <v>10</v>
      </c>
      <c r="D49" s="182" t="s">
        <v>265</v>
      </c>
      <c r="E49" s="182" t="s">
        <v>4</v>
      </c>
      <c r="F49" s="182" t="s">
        <v>4</v>
      </c>
      <c r="G49" s="182" t="s">
        <v>5</v>
      </c>
    </row>
    <row r="50" spans="3:7" x14ac:dyDescent="0.25">
      <c r="C50" s="182" t="s">
        <v>11</v>
      </c>
      <c r="D50" s="182" t="s">
        <v>266</v>
      </c>
      <c r="E50" s="182" t="s">
        <v>4</v>
      </c>
      <c r="F50" s="182" t="s">
        <v>5</v>
      </c>
      <c r="G50" s="182" t="s">
        <v>5</v>
      </c>
    </row>
    <row r="51" spans="3:7" x14ac:dyDescent="0.25">
      <c r="C51" s="182" t="s">
        <v>12</v>
      </c>
      <c r="D51" s="182" t="s">
        <v>267</v>
      </c>
      <c r="E51" s="182" t="s">
        <v>5</v>
      </c>
      <c r="F51" s="182" t="s">
        <v>4</v>
      </c>
      <c r="G51" s="182" t="s">
        <v>5</v>
      </c>
    </row>
    <row r="52" spans="3:7" x14ac:dyDescent="0.25">
      <c r="C52" s="182" t="s">
        <v>0</v>
      </c>
      <c r="D52" s="182" t="s">
        <v>272</v>
      </c>
      <c r="E52" s="182"/>
      <c r="F52" s="182" t="s">
        <v>4</v>
      </c>
      <c r="G52" s="182"/>
    </row>
    <row r="53" spans="3:7" x14ac:dyDescent="0.25">
      <c r="C53" s="182" t="s">
        <v>1</v>
      </c>
      <c r="D53" s="182" t="s">
        <v>314</v>
      </c>
      <c r="E53" s="182" t="s">
        <v>4</v>
      </c>
      <c r="F53" s="182"/>
      <c r="G53" s="182" t="s">
        <v>4</v>
      </c>
    </row>
    <row r="54" spans="3:7" x14ac:dyDescent="0.25">
      <c r="C54" s="182" t="s">
        <v>212</v>
      </c>
      <c r="D54" s="182" t="s">
        <v>315</v>
      </c>
      <c r="E54" s="182"/>
      <c r="F54" s="182"/>
      <c r="G54" s="182" t="s">
        <v>4</v>
      </c>
    </row>
    <row r="55" spans="3:7" x14ac:dyDescent="0.25">
      <c r="C55" s="182" t="s">
        <v>213</v>
      </c>
      <c r="D55" s="182" t="s">
        <v>273</v>
      </c>
      <c r="E55" s="182" t="s">
        <v>4</v>
      </c>
      <c r="F55" s="182"/>
      <c r="G55" s="182"/>
    </row>
    <row r="56" spans="3:7" x14ac:dyDescent="0.25">
      <c r="C56" s="182" t="s">
        <v>215</v>
      </c>
      <c r="D56" s="182" t="s">
        <v>282</v>
      </c>
      <c r="E56" s="182" t="s">
        <v>4</v>
      </c>
      <c r="F56" s="182"/>
      <c r="G56" s="182"/>
    </row>
    <row r="57" spans="3:7" x14ac:dyDescent="0.25">
      <c r="C57" s="182" t="s">
        <v>276</v>
      </c>
      <c r="D57" s="182" t="s">
        <v>275</v>
      </c>
      <c r="E57" s="182"/>
      <c r="F57" s="182"/>
      <c r="G57" s="182" t="s">
        <v>4</v>
      </c>
    </row>
    <row r="58" spans="3:7" x14ac:dyDescent="0.25">
      <c r="C58" s="182" t="s">
        <v>281</v>
      </c>
      <c r="D58" s="182" t="s">
        <v>274</v>
      </c>
      <c r="E58" s="182"/>
      <c r="F58" s="182" t="s">
        <v>4</v>
      </c>
      <c r="G58" s="182"/>
    </row>
  </sheetData>
  <mergeCells count="2">
    <mergeCell ref="K35:L35"/>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3" tint="0.59999389629810485"/>
  </sheetPr>
  <dimension ref="A2:CV60"/>
  <sheetViews>
    <sheetView showGridLines="0" topLeftCell="A4" zoomScale="70" zoomScaleNormal="70" workbookViewId="0">
      <selection activeCell="G31" sqref="G31"/>
    </sheetView>
  </sheetViews>
  <sheetFormatPr defaultColWidth="18.85546875" defaultRowHeight="15" x14ac:dyDescent="0.25"/>
  <cols>
    <col min="1" max="1" width="5.5703125" style="101" customWidth="1"/>
    <col min="2" max="2" width="8.28515625" style="101" customWidth="1"/>
    <col min="3" max="3" width="18.85546875" style="101"/>
    <col min="4" max="4" width="46.7109375" style="101" customWidth="1"/>
    <col min="5" max="12" width="20" style="101" customWidth="1"/>
    <col min="13" max="13" width="12.85546875" style="101" customWidth="1"/>
    <col min="14" max="14" width="25.5703125" style="101" customWidth="1"/>
    <col min="15" max="16384" width="18.85546875" style="101"/>
  </cols>
  <sheetData>
    <row r="2" spans="1:12" ht="18" x14ac:dyDescent="0.25">
      <c r="C2" s="23" t="s">
        <v>263</v>
      </c>
    </row>
    <row r="7" spans="1:12" x14ac:dyDescent="0.25">
      <c r="A7" s="148"/>
      <c r="C7" s="127" t="s">
        <v>13</v>
      </c>
      <c r="D7" s="127" t="s">
        <v>17</v>
      </c>
      <c r="E7" s="195" t="s">
        <v>9</v>
      </c>
      <c r="F7" s="196"/>
      <c r="G7" s="196"/>
      <c r="H7" s="196"/>
      <c r="I7" s="196"/>
      <c r="J7" s="196"/>
      <c r="K7" s="196"/>
      <c r="L7" s="197"/>
    </row>
    <row r="8" spans="1:12" s="115" customFormat="1" x14ac:dyDescent="0.25">
      <c r="A8" s="162"/>
      <c r="C8" s="112" t="s">
        <v>14</v>
      </c>
      <c r="D8" s="140" t="s">
        <v>277</v>
      </c>
      <c r="E8" s="112" t="s">
        <v>270</v>
      </c>
      <c r="F8" s="112" t="s">
        <v>271</v>
      </c>
      <c r="G8" s="112"/>
      <c r="H8" s="112"/>
      <c r="I8" s="112"/>
      <c r="J8" s="112"/>
      <c r="K8" s="112"/>
      <c r="L8" s="112"/>
    </row>
    <row r="9" spans="1:12" s="138" customFormat="1" x14ac:dyDescent="0.25">
      <c r="A9" s="139"/>
      <c r="C9" s="112" t="s">
        <v>130</v>
      </c>
      <c r="D9" s="140" t="s">
        <v>269</v>
      </c>
      <c r="E9" s="112" t="s">
        <v>265</v>
      </c>
      <c r="F9" s="112"/>
      <c r="G9" s="140"/>
      <c r="H9" s="140"/>
      <c r="I9" s="112"/>
      <c r="J9" s="112"/>
      <c r="K9" s="112"/>
      <c r="L9" s="112"/>
    </row>
    <row r="10" spans="1:12" s="146" customFormat="1" x14ac:dyDescent="0.25">
      <c r="A10" s="139"/>
      <c r="C10" s="112" t="s">
        <v>130</v>
      </c>
      <c r="D10" s="140" t="s">
        <v>268</v>
      </c>
      <c r="E10" s="140" t="s">
        <v>266</v>
      </c>
      <c r="F10" s="112" t="s">
        <v>267</v>
      </c>
      <c r="G10" s="140"/>
      <c r="H10" s="140"/>
      <c r="I10" s="112"/>
      <c r="J10" s="112"/>
      <c r="K10" s="112"/>
      <c r="L10" s="112"/>
    </row>
    <row r="11" spans="1:12" s="179" customFormat="1" x14ac:dyDescent="0.25">
      <c r="A11" s="139"/>
      <c r="C11" s="112" t="s">
        <v>130</v>
      </c>
      <c r="D11" s="140" t="s">
        <v>331</v>
      </c>
      <c r="E11" s="140" t="s">
        <v>332</v>
      </c>
      <c r="F11" s="112"/>
      <c r="G11" s="140"/>
      <c r="H11" s="140"/>
      <c r="I11" s="112"/>
      <c r="J11" s="112"/>
      <c r="K11" s="112"/>
      <c r="L11" s="112"/>
    </row>
    <row r="12" spans="1:12" s="179" customFormat="1" x14ac:dyDescent="0.25">
      <c r="A12" s="139"/>
      <c r="C12" s="141"/>
      <c r="D12" s="142"/>
      <c r="E12" s="142"/>
      <c r="F12" s="141"/>
      <c r="G12" s="142"/>
      <c r="H12" s="142"/>
      <c r="I12" s="141"/>
      <c r="J12" s="141"/>
      <c r="K12" s="141"/>
      <c r="L12" s="141"/>
    </row>
    <row r="13" spans="1:12" s="179" customFormat="1" x14ac:dyDescent="0.25"/>
    <row r="14" spans="1:12" s="179" customFormat="1" x14ac:dyDescent="0.25">
      <c r="B14" s="131" t="s">
        <v>237</v>
      </c>
      <c r="E14" s="18" t="s">
        <v>222</v>
      </c>
      <c r="F14" s="18" t="s">
        <v>223</v>
      </c>
    </row>
    <row r="15" spans="1:12" s="179" customFormat="1" x14ac:dyDescent="0.25">
      <c r="C15" s="180" t="s">
        <v>19</v>
      </c>
      <c r="D15" s="180" t="s">
        <v>270</v>
      </c>
      <c r="E15" s="11" t="s">
        <v>4</v>
      </c>
      <c r="F15" s="11" t="s">
        <v>5</v>
      </c>
    </row>
    <row r="16" spans="1:12" s="179" customFormat="1" x14ac:dyDescent="0.25">
      <c r="C16" s="180" t="s">
        <v>196</v>
      </c>
      <c r="D16" s="180" t="s">
        <v>271</v>
      </c>
      <c r="E16" s="180" t="s">
        <v>5</v>
      </c>
      <c r="F16" s="180" t="s">
        <v>4</v>
      </c>
    </row>
    <row r="17" spans="1:10" s="179" customFormat="1" x14ac:dyDescent="0.25"/>
    <row r="18" spans="1:10" s="179" customFormat="1" x14ac:dyDescent="0.25">
      <c r="B18" s="131" t="s">
        <v>236</v>
      </c>
      <c r="E18" s="18" t="s">
        <v>224</v>
      </c>
      <c r="F18" s="18" t="s">
        <v>225</v>
      </c>
    </row>
    <row r="19" spans="1:10" s="179" customFormat="1" x14ac:dyDescent="0.25">
      <c r="C19" s="180" t="s">
        <v>10</v>
      </c>
      <c r="D19" s="180" t="s">
        <v>265</v>
      </c>
      <c r="E19" s="11" t="s">
        <v>4</v>
      </c>
      <c r="F19" s="11" t="s">
        <v>5</v>
      </c>
    </row>
    <row r="20" spans="1:10" s="179" customFormat="1" x14ac:dyDescent="0.25"/>
    <row r="21" spans="1:10" s="179" customFormat="1" x14ac:dyDescent="0.25">
      <c r="B21" s="131" t="s">
        <v>239</v>
      </c>
      <c r="E21" s="18" t="s">
        <v>226</v>
      </c>
      <c r="F21" s="18" t="s">
        <v>227</v>
      </c>
      <c r="G21" s="18" t="s">
        <v>228</v>
      </c>
    </row>
    <row r="22" spans="1:10" s="179" customFormat="1" x14ac:dyDescent="0.25">
      <c r="C22" s="180" t="s">
        <v>11</v>
      </c>
      <c r="D22" s="180" t="s">
        <v>266</v>
      </c>
      <c r="E22" s="11" t="s">
        <v>4</v>
      </c>
      <c r="F22" s="11" t="s">
        <v>5</v>
      </c>
      <c r="G22" s="11" t="s">
        <v>5</v>
      </c>
    </row>
    <row r="23" spans="1:10" s="179" customFormat="1" x14ac:dyDescent="0.25">
      <c r="C23" s="180" t="s">
        <v>12</v>
      </c>
      <c r="D23" s="180" t="s">
        <v>267</v>
      </c>
      <c r="E23" s="180" t="s">
        <v>5</v>
      </c>
      <c r="F23" s="180" t="s">
        <v>4</v>
      </c>
      <c r="G23" s="180" t="s">
        <v>5</v>
      </c>
    </row>
    <row r="24" spans="1:10" s="179" customFormat="1" x14ac:dyDescent="0.25"/>
    <row r="25" spans="1:10" s="179" customFormat="1" x14ac:dyDescent="0.25">
      <c r="B25" s="131" t="s">
        <v>333</v>
      </c>
      <c r="E25" s="18" t="s">
        <v>229</v>
      </c>
      <c r="F25" s="18" t="s">
        <v>230</v>
      </c>
    </row>
    <row r="26" spans="1:10" s="179" customFormat="1" x14ac:dyDescent="0.25">
      <c r="C26" s="180" t="s">
        <v>18</v>
      </c>
      <c r="D26" s="180" t="s">
        <v>332</v>
      </c>
      <c r="E26" s="11" t="s">
        <v>4</v>
      </c>
      <c r="F26" s="11" t="s">
        <v>5</v>
      </c>
    </row>
    <row r="27" spans="1:10" s="179" customFormat="1" x14ac:dyDescent="0.25"/>
    <row r="28" spans="1:10" s="179" customFormat="1" x14ac:dyDescent="0.25"/>
    <row r="29" spans="1:10" s="179" customFormat="1" x14ac:dyDescent="0.25"/>
    <row r="30" spans="1:10" s="147" customFormat="1" x14ac:dyDescent="0.25">
      <c r="A30" s="146"/>
      <c r="B30" s="146"/>
      <c r="C30" s="146"/>
      <c r="D30" s="146"/>
      <c r="E30" s="146"/>
      <c r="F30" s="146"/>
      <c r="I30" s="150"/>
      <c r="J30" s="150"/>
    </row>
    <row r="31" spans="1:10" s="147" customFormat="1" x14ac:dyDescent="0.25">
      <c r="A31" s="148"/>
      <c r="B31" s="101"/>
      <c r="C31" s="127" t="s">
        <v>261</v>
      </c>
      <c r="D31" s="92" t="s">
        <v>197</v>
      </c>
      <c r="E31" s="92" t="s">
        <v>198</v>
      </c>
      <c r="F31" s="130"/>
      <c r="I31" s="150"/>
      <c r="J31" s="150"/>
    </row>
    <row r="32" spans="1:10" s="177" customFormat="1" x14ac:dyDescent="0.25">
      <c r="A32" s="161"/>
      <c r="C32" s="112">
        <v>1</v>
      </c>
      <c r="D32" s="133" t="s">
        <v>237</v>
      </c>
      <c r="E32" s="133" t="s">
        <v>236</v>
      </c>
    </row>
    <row r="33" spans="1:100" s="163" customFormat="1" x14ac:dyDescent="0.25">
      <c r="A33" s="160"/>
      <c r="C33" s="112">
        <v>2</v>
      </c>
      <c r="D33" s="133" t="s">
        <v>224</v>
      </c>
      <c r="E33" s="133" t="s">
        <v>239</v>
      </c>
    </row>
    <row r="34" spans="1:100" s="163" customFormat="1" x14ac:dyDescent="0.25">
      <c r="A34" s="160"/>
      <c r="C34" s="112">
        <v>3</v>
      </c>
      <c r="D34" s="133" t="s">
        <v>334</v>
      </c>
      <c r="E34" s="133" t="s">
        <v>333</v>
      </c>
    </row>
    <row r="35" spans="1:100" s="138" customFormat="1" x14ac:dyDescent="0.25">
      <c r="A35" s="137"/>
      <c r="B35" s="137"/>
      <c r="C35" s="139"/>
      <c r="F35" s="137"/>
    </row>
    <row r="36" spans="1:100" s="138" customFormat="1" x14ac:dyDescent="0.25">
      <c r="A36" s="135"/>
      <c r="B36" s="135"/>
      <c r="C36" s="4"/>
      <c r="D36" s="4"/>
      <c r="E36" s="4"/>
      <c r="F36" s="135"/>
    </row>
    <row r="37" spans="1:100" s="138" customFormat="1" x14ac:dyDescent="0.25">
      <c r="A37" s="148"/>
      <c r="B37" s="135"/>
      <c r="C37" s="127" t="s">
        <v>260</v>
      </c>
      <c r="D37" s="92" t="s">
        <v>197</v>
      </c>
      <c r="E37" s="92" t="s">
        <v>198</v>
      </c>
      <c r="F37" s="92" t="s">
        <v>262</v>
      </c>
    </row>
    <row r="38" spans="1:100" s="153" customFormat="1" x14ac:dyDescent="0.25">
      <c r="A38" s="162"/>
      <c r="C38" s="112">
        <v>1</v>
      </c>
      <c r="D38" s="133"/>
      <c r="E38" s="133"/>
      <c r="F38" s="133"/>
    </row>
    <row r="39" spans="1:100" s="137" customFormat="1" x14ac:dyDescent="0.25">
      <c r="A39" s="101"/>
      <c r="B39" s="101"/>
      <c r="C39" s="101"/>
      <c r="D39" s="101"/>
      <c r="E39" s="101"/>
      <c r="F39" s="101"/>
    </row>
    <row r="40" spans="1:100" s="135" customFormat="1" x14ac:dyDescent="0.25">
      <c r="A40" s="136"/>
      <c r="B40" s="136"/>
      <c r="C40" s="2"/>
      <c r="D40" s="136"/>
      <c r="E40" s="136"/>
      <c r="F40" s="136"/>
    </row>
    <row r="41" spans="1:100" s="135" customFormat="1" x14ac:dyDescent="0.25">
      <c r="A41" s="148"/>
      <c r="B41" s="101"/>
      <c r="C41" s="127" t="s">
        <v>7</v>
      </c>
      <c r="D41" s="127" t="s">
        <v>20</v>
      </c>
      <c r="E41" s="127" t="s">
        <v>284</v>
      </c>
      <c r="F41" s="130"/>
      <c r="G41" s="136"/>
    </row>
    <row r="42" spans="1:100" s="138" customFormat="1" x14ac:dyDescent="0.25">
      <c r="A42" s="139"/>
      <c r="C42" s="112" t="s">
        <v>0</v>
      </c>
      <c r="D42" s="143" t="s">
        <v>272</v>
      </c>
      <c r="E42" s="112" t="s">
        <v>222</v>
      </c>
    </row>
    <row r="43" spans="1:100" x14ac:dyDescent="0.25">
      <c r="A43" s="139"/>
      <c r="B43" s="138"/>
      <c r="C43" s="112" t="s">
        <v>1</v>
      </c>
      <c r="D43" s="143" t="s">
        <v>314</v>
      </c>
      <c r="E43" s="145" t="s">
        <v>223</v>
      </c>
      <c r="F43" s="138"/>
      <c r="G43" s="130"/>
      <c r="H43" s="130"/>
    </row>
    <row r="44" spans="1:100" x14ac:dyDescent="0.25">
      <c r="A44" s="139"/>
      <c r="B44" s="138"/>
      <c r="C44" s="112" t="s">
        <v>213</v>
      </c>
      <c r="D44" s="143" t="s">
        <v>335</v>
      </c>
      <c r="E44" s="140" t="s">
        <v>225</v>
      </c>
      <c r="F44" s="138"/>
      <c r="G44" s="138"/>
      <c r="H44" s="130"/>
    </row>
    <row r="45" spans="1:100" s="138" customFormat="1" x14ac:dyDescent="0.25">
      <c r="A45" s="139"/>
      <c r="C45" s="112" t="s">
        <v>215</v>
      </c>
      <c r="D45" s="143" t="s">
        <v>275</v>
      </c>
      <c r="E45" s="140" t="s">
        <v>229</v>
      </c>
    </row>
    <row r="46" spans="1:100" x14ac:dyDescent="0.25">
      <c r="G46" s="138"/>
      <c r="H46" s="130"/>
    </row>
    <row r="47" spans="1:100" s="138" customFormat="1" x14ac:dyDescent="0.25">
      <c r="A47" s="101"/>
      <c r="B47" s="101"/>
      <c r="C47" s="101"/>
      <c r="D47" s="101"/>
      <c r="E47" s="101"/>
      <c r="F47" s="101"/>
      <c r="G47" s="101"/>
      <c r="H47" s="101"/>
      <c r="I47" s="101"/>
      <c r="J47" s="101"/>
      <c r="K47" s="101"/>
      <c r="L47" s="101"/>
      <c r="M47" s="101"/>
      <c r="N47" s="101"/>
      <c r="O47" s="101"/>
      <c r="P47" s="101"/>
      <c r="Q47" s="101"/>
      <c r="R47" s="101"/>
      <c r="S47" s="101"/>
      <c r="T47" s="101"/>
      <c r="U47" s="101"/>
      <c r="V47" s="101"/>
      <c r="W47" s="101"/>
      <c r="X47" s="101"/>
      <c r="Y47" s="101"/>
      <c r="Z47" s="101"/>
      <c r="AA47" s="101"/>
      <c r="AB47" s="101"/>
      <c r="AC47" s="101"/>
      <c r="AD47" s="101"/>
      <c r="AE47" s="101"/>
      <c r="AF47" s="101"/>
      <c r="AG47" s="101"/>
      <c r="AH47" s="101"/>
      <c r="AI47" s="101"/>
      <c r="AJ47" s="101"/>
      <c r="AK47" s="101"/>
      <c r="AL47" s="101"/>
      <c r="AM47" s="101"/>
      <c r="AN47" s="101"/>
      <c r="AO47" s="101"/>
      <c r="AP47" s="101"/>
      <c r="AQ47" s="101"/>
      <c r="AR47" s="101"/>
      <c r="AS47" s="101"/>
      <c r="AT47" s="101"/>
      <c r="AU47" s="101"/>
      <c r="AV47" s="101"/>
      <c r="AW47" s="101"/>
      <c r="AX47" s="101"/>
      <c r="AY47" s="101"/>
      <c r="AZ47" s="101"/>
      <c r="BA47" s="101"/>
      <c r="BB47" s="101"/>
      <c r="BC47" s="101"/>
      <c r="BD47" s="101"/>
      <c r="BE47" s="101"/>
      <c r="BF47" s="101"/>
      <c r="BG47" s="101"/>
      <c r="BH47" s="101"/>
      <c r="BI47" s="101"/>
      <c r="BJ47" s="101"/>
      <c r="BK47" s="101"/>
      <c r="BL47" s="101"/>
      <c r="BM47" s="101"/>
      <c r="BN47" s="101"/>
      <c r="BO47" s="101"/>
      <c r="BP47" s="101"/>
      <c r="BQ47" s="101"/>
      <c r="BR47" s="101"/>
      <c r="BS47" s="101"/>
      <c r="BT47" s="101"/>
      <c r="BU47" s="101"/>
      <c r="BV47" s="101"/>
      <c r="BW47" s="101"/>
      <c r="BX47" s="101"/>
      <c r="BY47" s="101"/>
      <c r="BZ47" s="101"/>
      <c r="CA47" s="101"/>
      <c r="CB47" s="101"/>
      <c r="CC47" s="101"/>
      <c r="CD47" s="101"/>
      <c r="CE47" s="101"/>
      <c r="CF47" s="101"/>
      <c r="CG47" s="101"/>
      <c r="CH47" s="101"/>
      <c r="CI47" s="101"/>
      <c r="CJ47" s="101"/>
      <c r="CK47" s="101"/>
      <c r="CL47" s="101"/>
      <c r="CM47" s="101"/>
      <c r="CN47" s="101"/>
      <c r="CO47" s="101"/>
      <c r="CP47" s="101"/>
      <c r="CQ47" s="101"/>
      <c r="CR47" s="101"/>
      <c r="CS47" s="101"/>
      <c r="CT47" s="101"/>
      <c r="CU47" s="101"/>
      <c r="CV47" s="101"/>
    </row>
    <row r="48" spans="1:100" s="138" customFormat="1" x14ac:dyDescent="0.25">
      <c r="A48" s="101"/>
      <c r="B48" s="101"/>
      <c r="C48" s="101"/>
      <c r="D48" s="101"/>
      <c r="E48" s="101"/>
      <c r="F48" s="101"/>
      <c r="G48" s="101"/>
      <c r="H48" s="101"/>
      <c r="I48" s="101"/>
      <c r="J48" s="101"/>
      <c r="K48" s="101"/>
      <c r="L48" s="101"/>
      <c r="M48" s="101"/>
      <c r="N48" s="101"/>
      <c r="O48" s="101"/>
      <c r="P48" s="101"/>
      <c r="Q48" s="101"/>
      <c r="R48" s="101"/>
      <c r="S48" s="101"/>
      <c r="T48" s="101"/>
      <c r="U48" s="101"/>
      <c r="V48" s="101"/>
      <c r="W48" s="101"/>
      <c r="X48" s="101"/>
      <c r="Y48" s="101"/>
      <c r="Z48" s="101"/>
      <c r="AA48" s="101"/>
      <c r="AB48" s="101"/>
      <c r="AC48" s="101"/>
      <c r="AD48" s="101"/>
      <c r="AE48" s="101"/>
      <c r="AF48" s="101"/>
      <c r="AG48" s="101"/>
      <c r="AH48" s="101"/>
      <c r="AI48" s="101"/>
      <c r="AJ48" s="101"/>
      <c r="AK48" s="101"/>
      <c r="AL48" s="101"/>
      <c r="AM48" s="101"/>
      <c r="AN48" s="101"/>
      <c r="AO48" s="101"/>
      <c r="AP48" s="101"/>
      <c r="AQ48" s="101"/>
      <c r="AR48" s="101"/>
      <c r="AS48" s="101"/>
      <c r="AT48" s="101"/>
      <c r="AU48" s="101"/>
      <c r="AV48" s="101"/>
      <c r="AW48" s="101"/>
      <c r="AX48" s="101"/>
      <c r="AY48" s="101"/>
      <c r="AZ48" s="101"/>
      <c r="BA48" s="101"/>
      <c r="BB48" s="101"/>
      <c r="BC48" s="101"/>
      <c r="BD48" s="101"/>
      <c r="BE48" s="101"/>
      <c r="BF48" s="101"/>
      <c r="BG48" s="101"/>
      <c r="BH48" s="101"/>
      <c r="BI48" s="101"/>
      <c r="BJ48" s="101"/>
      <c r="BK48" s="101"/>
      <c r="BL48" s="101"/>
      <c r="BM48" s="101"/>
      <c r="BN48" s="101"/>
      <c r="BO48" s="101"/>
      <c r="BP48" s="101"/>
      <c r="BQ48" s="101"/>
      <c r="BR48" s="101"/>
      <c r="BS48" s="101"/>
      <c r="BT48" s="101"/>
      <c r="BU48" s="101"/>
      <c r="BV48" s="101"/>
      <c r="BW48" s="101"/>
      <c r="BX48" s="101"/>
      <c r="BY48" s="101"/>
      <c r="BZ48" s="101"/>
      <c r="CA48" s="101"/>
      <c r="CB48" s="101"/>
      <c r="CC48" s="101"/>
      <c r="CD48" s="101"/>
      <c r="CE48" s="101"/>
      <c r="CF48" s="101"/>
      <c r="CG48" s="101"/>
      <c r="CH48" s="101"/>
      <c r="CI48" s="101"/>
      <c r="CJ48" s="101"/>
      <c r="CK48" s="101"/>
      <c r="CL48" s="101"/>
      <c r="CM48" s="101"/>
      <c r="CN48" s="101"/>
      <c r="CO48" s="101"/>
      <c r="CP48" s="101"/>
      <c r="CQ48" s="101"/>
      <c r="CR48" s="101"/>
      <c r="CS48" s="101"/>
      <c r="CT48" s="101"/>
      <c r="CU48" s="101"/>
      <c r="CV48" s="101"/>
    </row>
    <row r="49" spans="3:8" x14ac:dyDescent="0.25">
      <c r="E49" s="101" t="s">
        <v>283</v>
      </c>
      <c r="F49" s="101" t="s">
        <v>336</v>
      </c>
      <c r="G49" s="101" t="s">
        <v>337</v>
      </c>
      <c r="H49" s="101" t="s">
        <v>338</v>
      </c>
    </row>
    <row r="50" spans="3:8" x14ac:dyDescent="0.25">
      <c r="E50" s="18" t="s">
        <v>232</v>
      </c>
      <c r="F50" s="18" t="s">
        <v>233</v>
      </c>
      <c r="G50" s="18" t="s">
        <v>234</v>
      </c>
      <c r="H50" s="18" t="s">
        <v>235</v>
      </c>
    </row>
    <row r="51" spans="3:8" x14ac:dyDescent="0.25">
      <c r="C51" s="180" t="s">
        <v>19</v>
      </c>
      <c r="D51" s="180" t="s">
        <v>270</v>
      </c>
      <c r="E51" s="11" t="s">
        <v>4</v>
      </c>
      <c r="F51" s="11" t="s">
        <v>5</v>
      </c>
      <c r="G51" s="11" t="s">
        <v>4</v>
      </c>
      <c r="H51" s="11" t="s">
        <v>4</v>
      </c>
    </row>
    <row r="52" spans="3:8" x14ac:dyDescent="0.25">
      <c r="C52" s="180" t="s">
        <v>196</v>
      </c>
      <c r="D52" s="180" t="s">
        <v>271</v>
      </c>
      <c r="E52" s="180" t="s">
        <v>5</v>
      </c>
      <c r="F52" s="180" t="s">
        <v>4</v>
      </c>
      <c r="G52" s="180" t="s">
        <v>5</v>
      </c>
      <c r="H52" s="180" t="s">
        <v>5</v>
      </c>
    </row>
    <row r="53" spans="3:8" x14ac:dyDescent="0.25">
      <c r="C53" s="180" t="s">
        <v>10</v>
      </c>
      <c r="D53" s="180" t="s">
        <v>265</v>
      </c>
      <c r="E53" s="180" t="s">
        <v>4</v>
      </c>
      <c r="F53" s="180" t="s">
        <v>5</v>
      </c>
      <c r="G53" s="180" t="s">
        <v>4</v>
      </c>
      <c r="H53" s="180" t="s">
        <v>4</v>
      </c>
    </row>
    <row r="54" spans="3:8" x14ac:dyDescent="0.25">
      <c r="C54" s="180" t="s">
        <v>11</v>
      </c>
      <c r="D54" s="180" t="s">
        <v>266</v>
      </c>
      <c r="E54" s="180" t="s">
        <v>4</v>
      </c>
      <c r="F54" s="180"/>
      <c r="G54" s="180" t="s">
        <v>5</v>
      </c>
      <c r="H54" s="180" t="s">
        <v>5</v>
      </c>
    </row>
    <row r="55" spans="3:8" x14ac:dyDescent="0.25">
      <c r="C55" s="180" t="s">
        <v>12</v>
      </c>
      <c r="D55" s="180" t="s">
        <v>267</v>
      </c>
      <c r="E55" s="180" t="s">
        <v>5</v>
      </c>
      <c r="F55" s="180"/>
      <c r="G55" s="180" t="s">
        <v>4</v>
      </c>
      <c r="H55" s="180" t="s">
        <v>5</v>
      </c>
    </row>
    <row r="56" spans="3:8" x14ac:dyDescent="0.25">
      <c r="C56" s="180" t="s">
        <v>18</v>
      </c>
      <c r="D56" s="180" t="s">
        <v>332</v>
      </c>
      <c r="E56" s="180" t="s">
        <v>4</v>
      </c>
      <c r="F56" s="180"/>
      <c r="G56" s="180" t="s">
        <v>5</v>
      </c>
      <c r="H56" s="180"/>
    </row>
    <row r="57" spans="3:8" x14ac:dyDescent="0.25">
      <c r="C57" s="180" t="s">
        <v>0</v>
      </c>
      <c r="D57" s="180" t="s">
        <v>272</v>
      </c>
      <c r="E57" s="180" t="s">
        <v>4</v>
      </c>
      <c r="F57" s="180"/>
      <c r="G57" s="180" t="s">
        <v>4</v>
      </c>
      <c r="H57" s="180" t="s">
        <v>4</v>
      </c>
    </row>
    <row r="58" spans="3:8" x14ac:dyDescent="0.25">
      <c r="C58" s="180" t="s">
        <v>1</v>
      </c>
      <c r="D58" s="180" t="s">
        <v>314</v>
      </c>
      <c r="E58" s="180"/>
      <c r="F58" s="180" t="s">
        <v>4</v>
      </c>
      <c r="G58" s="180"/>
      <c r="H58" s="180"/>
    </row>
    <row r="59" spans="3:8" x14ac:dyDescent="0.25">
      <c r="C59" s="180" t="s">
        <v>213</v>
      </c>
      <c r="D59" s="180" t="s">
        <v>335</v>
      </c>
      <c r="E59" s="180"/>
      <c r="F59" s="180" t="s">
        <v>4</v>
      </c>
      <c r="G59" s="180"/>
      <c r="H59" s="180"/>
    </row>
    <row r="60" spans="3:8" x14ac:dyDescent="0.25">
      <c r="C60" s="180" t="s">
        <v>215</v>
      </c>
      <c r="D60" s="180" t="s">
        <v>275</v>
      </c>
      <c r="E60" s="180" t="s">
        <v>4</v>
      </c>
      <c r="F60" s="180"/>
      <c r="G60" s="180"/>
      <c r="H60" s="180"/>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3" tint="0.59999389629810485"/>
  </sheetPr>
  <dimension ref="A2:CV59"/>
  <sheetViews>
    <sheetView showGridLines="0" topLeftCell="A4" zoomScale="70" zoomScaleNormal="70" workbookViewId="0">
      <selection activeCell="H21" sqref="H21"/>
    </sheetView>
  </sheetViews>
  <sheetFormatPr defaultRowHeight="15" x14ac:dyDescent="0.25"/>
  <cols>
    <col min="1" max="1" width="6.28515625" style="132" customWidth="1"/>
    <col min="2" max="2" width="7.5703125" customWidth="1"/>
    <col min="3" max="3" width="11" customWidth="1"/>
    <col min="4" max="4" width="37.7109375" style="12" customWidth="1"/>
    <col min="5" max="7" width="5.28515625" bestFit="1" customWidth="1"/>
    <col min="8" max="8" width="25" customWidth="1"/>
    <col min="9" max="9" width="17.42578125" customWidth="1"/>
    <col min="10" max="10" width="36" customWidth="1"/>
    <col min="11" max="11" width="10.42578125" customWidth="1"/>
  </cols>
  <sheetData>
    <row r="2" spans="1:11" ht="18" x14ac:dyDescent="0.25">
      <c r="B2" s="23" t="s">
        <v>37</v>
      </c>
    </row>
    <row r="3" spans="1:11" s="102" customFormat="1" ht="18" x14ac:dyDescent="0.25">
      <c r="A3" s="132"/>
      <c r="B3" s="23"/>
      <c r="D3" s="12"/>
    </row>
    <row r="4" spans="1:11" s="102" customFormat="1" ht="18" x14ac:dyDescent="0.25">
      <c r="A4" s="132"/>
      <c r="B4" s="23"/>
      <c r="D4" s="12"/>
    </row>
    <row r="5" spans="1:11" s="102" customFormat="1" x14ac:dyDescent="0.25">
      <c r="A5" s="132"/>
      <c r="B5" s="199" t="s">
        <v>199</v>
      </c>
      <c r="C5" s="200"/>
      <c r="D5" s="201"/>
    </row>
    <row r="6" spans="1:11" s="102" customFormat="1" x14ac:dyDescent="0.25">
      <c r="A6" s="132"/>
      <c r="B6" s="202" t="s">
        <v>201</v>
      </c>
      <c r="C6" s="203"/>
      <c r="D6" s="204"/>
    </row>
    <row r="7" spans="1:11" s="102" customFormat="1" ht="18" x14ac:dyDescent="0.25">
      <c r="A7" s="132"/>
      <c r="B7" s="23"/>
      <c r="D7" s="12"/>
    </row>
    <row r="8" spans="1:11" ht="18" x14ac:dyDescent="0.25">
      <c r="B8" s="23"/>
    </row>
    <row r="9" spans="1:11" ht="18" x14ac:dyDescent="0.25">
      <c r="B9" s="23"/>
    </row>
    <row r="10" spans="1:11" ht="191.25" x14ac:dyDescent="0.25">
      <c r="B10" s="149"/>
      <c r="C10" s="149"/>
      <c r="E10" s="106" t="s">
        <v>339</v>
      </c>
      <c r="F10" s="106" t="s">
        <v>340</v>
      </c>
      <c r="G10" s="106" t="s">
        <v>341</v>
      </c>
      <c r="H10" s="12"/>
      <c r="I10" s="12"/>
      <c r="J10" s="12"/>
      <c r="K10" s="149"/>
    </row>
    <row r="11" spans="1:11" x14ac:dyDescent="0.25">
      <c r="B11" s="149"/>
      <c r="C11" s="149"/>
      <c r="E11" s="205" t="s">
        <v>35</v>
      </c>
      <c r="F11" s="206"/>
      <c r="G11" s="206"/>
      <c r="H11" s="198" t="s">
        <v>36</v>
      </c>
      <c r="I11" s="198"/>
      <c r="J11" s="198" t="s">
        <v>21</v>
      </c>
      <c r="K11" s="198"/>
    </row>
    <row r="12" spans="1:11" x14ac:dyDescent="0.25">
      <c r="A12" s="166"/>
      <c r="B12" s="170"/>
      <c r="C12" s="172" t="s">
        <v>22</v>
      </c>
      <c r="D12" s="173" t="s">
        <v>23</v>
      </c>
      <c r="E12" s="174">
        <v>1</v>
      </c>
      <c r="F12" s="174">
        <v>2</v>
      </c>
      <c r="G12" s="174">
        <v>3</v>
      </c>
      <c r="H12" s="175" t="s">
        <v>4</v>
      </c>
      <c r="I12" s="175" t="s">
        <v>5</v>
      </c>
      <c r="J12" s="175" t="s">
        <v>4</v>
      </c>
      <c r="K12" s="175" t="s">
        <v>5</v>
      </c>
    </row>
    <row r="13" spans="1:11" s="165" customFormat="1" x14ac:dyDescent="0.25">
      <c r="A13" s="171"/>
      <c r="B13" s="19" t="s">
        <v>19</v>
      </c>
      <c r="C13" s="182">
        <v>4</v>
      </c>
      <c r="D13" s="182" t="s">
        <v>270</v>
      </c>
      <c r="E13" s="182" t="s">
        <v>5</v>
      </c>
      <c r="F13" s="182" t="s">
        <v>4</v>
      </c>
      <c r="G13" s="182" t="s">
        <v>5</v>
      </c>
      <c r="H13" s="182" t="s">
        <v>312</v>
      </c>
      <c r="I13" s="182"/>
      <c r="J13" s="182"/>
      <c r="K13" s="182"/>
    </row>
    <row r="14" spans="1:11" s="165" customFormat="1" x14ac:dyDescent="0.25">
      <c r="A14" s="141"/>
      <c r="B14" s="19" t="s">
        <v>196</v>
      </c>
      <c r="C14" s="182">
        <v>5</v>
      </c>
      <c r="D14" s="182" t="s">
        <v>271</v>
      </c>
      <c r="E14" s="182" t="s">
        <v>4</v>
      </c>
      <c r="F14" s="182" t="s">
        <v>5</v>
      </c>
      <c r="G14" s="182" t="s">
        <v>4</v>
      </c>
      <c r="H14" s="182" t="s">
        <v>344</v>
      </c>
      <c r="I14" s="182"/>
      <c r="J14" s="182"/>
      <c r="K14" s="182"/>
    </row>
    <row r="15" spans="1:11" s="165" customFormat="1" x14ac:dyDescent="0.25">
      <c r="A15" s="141"/>
      <c r="B15" s="19" t="s">
        <v>10</v>
      </c>
      <c r="C15" s="182">
        <v>1</v>
      </c>
      <c r="D15" s="182" t="s">
        <v>265</v>
      </c>
      <c r="E15" s="182" t="s">
        <v>4</v>
      </c>
      <c r="F15" s="182" t="s">
        <v>4</v>
      </c>
      <c r="G15" s="182" t="s">
        <v>5</v>
      </c>
      <c r="H15" s="182" t="s">
        <v>345</v>
      </c>
      <c r="I15" s="182" t="s">
        <v>313</v>
      </c>
      <c r="J15" s="182"/>
      <c r="K15" s="182"/>
    </row>
    <row r="16" spans="1:11" s="165" customFormat="1" x14ac:dyDescent="0.25">
      <c r="A16" s="141"/>
      <c r="B16" s="19" t="s">
        <v>11</v>
      </c>
      <c r="C16" s="182">
        <v>2</v>
      </c>
      <c r="D16" s="182" t="s">
        <v>266</v>
      </c>
      <c r="E16" s="182" t="s">
        <v>4</v>
      </c>
      <c r="F16" s="182" t="s">
        <v>5</v>
      </c>
      <c r="G16" s="182" t="s">
        <v>5</v>
      </c>
      <c r="H16" s="182" t="s">
        <v>346</v>
      </c>
      <c r="I16" s="182"/>
      <c r="J16" s="182"/>
      <c r="K16" s="182"/>
    </row>
    <row r="17" spans="1:100" s="165" customFormat="1" x14ac:dyDescent="0.25">
      <c r="A17" s="141"/>
      <c r="B17" s="19" t="s">
        <v>12</v>
      </c>
      <c r="C17" s="182">
        <v>3</v>
      </c>
      <c r="D17" s="182" t="s">
        <v>267</v>
      </c>
      <c r="E17" s="182" t="s">
        <v>5</v>
      </c>
      <c r="F17" s="182" t="s">
        <v>4</v>
      </c>
      <c r="G17" s="182" t="s">
        <v>5</v>
      </c>
      <c r="H17" s="182" t="s">
        <v>347</v>
      </c>
      <c r="I17" s="182"/>
      <c r="J17" s="182"/>
      <c r="K17" s="182"/>
    </row>
    <row r="18" spans="1:100" s="164" customFormat="1" x14ac:dyDescent="0.25">
      <c r="A18" s="141"/>
      <c r="B18" s="19" t="s">
        <v>0</v>
      </c>
      <c r="C18" s="182">
        <v>6</v>
      </c>
      <c r="D18" s="182" t="s">
        <v>272</v>
      </c>
      <c r="E18" s="182"/>
      <c r="F18" s="182" t="s">
        <v>4</v>
      </c>
      <c r="G18" s="182"/>
      <c r="H18" s="182"/>
      <c r="I18" s="182"/>
      <c r="J18" s="182" t="s">
        <v>272</v>
      </c>
      <c r="K18" s="182"/>
    </row>
    <row r="19" spans="1:100" s="164" customFormat="1" x14ac:dyDescent="0.25">
      <c r="A19" s="141"/>
      <c r="B19" s="19" t="s">
        <v>1</v>
      </c>
      <c r="C19" s="182">
        <v>7</v>
      </c>
      <c r="D19" s="182" t="s">
        <v>314</v>
      </c>
      <c r="E19" s="182" t="s">
        <v>4</v>
      </c>
      <c r="F19" s="182"/>
      <c r="G19" s="182" t="s">
        <v>4</v>
      </c>
      <c r="H19" s="182"/>
      <c r="I19" s="182"/>
      <c r="J19" s="182" t="s">
        <v>314</v>
      </c>
      <c r="K19" s="182"/>
    </row>
    <row r="20" spans="1:100" s="164" customFormat="1" x14ac:dyDescent="0.25">
      <c r="A20" s="132"/>
      <c r="B20" s="19" t="s">
        <v>212</v>
      </c>
      <c r="C20" s="182">
        <v>8</v>
      </c>
      <c r="D20" s="182" t="s">
        <v>315</v>
      </c>
      <c r="E20" s="182"/>
      <c r="F20" s="182"/>
      <c r="G20" s="182" t="s">
        <v>4</v>
      </c>
      <c r="H20" s="182"/>
      <c r="I20" s="182"/>
      <c r="J20" s="182" t="s">
        <v>315</v>
      </c>
      <c r="K20" s="182"/>
    </row>
    <row r="21" spans="1:100" s="164" customFormat="1" x14ac:dyDescent="0.25">
      <c r="A21" s="132"/>
      <c r="B21" s="19" t="s">
        <v>213</v>
      </c>
      <c r="C21" s="182">
        <v>9</v>
      </c>
      <c r="D21" s="182" t="s">
        <v>273</v>
      </c>
      <c r="E21" s="182" t="s">
        <v>4</v>
      </c>
      <c r="F21" s="182"/>
      <c r="G21" s="182"/>
      <c r="H21" s="182"/>
      <c r="I21" s="182"/>
      <c r="J21" s="182" t="s">
        <v>273</v>
      </c>
      <c r="K21" s="182"/>
    </row>
    <row r="22" spans="1:100" s="164" customFormat="1" x14ac:dyDescent="0.25">
      <c r="A22" s="132"/>
      <c r="B22" s="19" t="s">
        <v>215</v>
      </c>
      <c r="C22" s="182">
        <v>10</v>
      </c>
      <c r="D22" s="182" t="s">
        <v>282</v>
      </c>
      <c r="E22" s="182" t="s">
        <v>4</v>
      </c>
      <c r="F22" s="182"/>
      <c r="G22" s="182"/>
      <c r="H22" s="182"/>
      <c r="I22" s="182"/>
      <c r="J22" s="182" t="s">
        <v>282</v>
      </c>
      <c r="K22" s="182"/>
    </row>
    <row r="23" spans="1:100" s="164" customFormat="1" x14ac:dyDescent="0.25">
      <c r="A23" s="132"/>
      <c r="B23" s="19" t="s">
        <v>276</v>
      </c>
      <c r="C23" s="182">
        <v>11</v>
      </c>
      <c r="D23" s="182" t="s">
        <v>275</v>
      </c>
      <c r="E23" s="182"/>
      <c r="F23" s="182"/>
      <c r="G23" s="182" t="s">
        <v>4</v>
      </c>
      <c r="H23" s="182"/>
      <c r="I23" s="182"/>
      <c r="J23" s="182" t="s">
        <v>275</v>
      </c>
      <c r="K23" s="182"/>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row>
    <row r="24" spans="1:100" s="164" customFormat="1" x14ac:dyDescent="0.25">
      <c r="A24" s="132"/>
      <c r="B24" s="19" t="s">
        <v>281</v>
      </c>
      <c r="C24" s="182">
        <v>12</v>
      </c>
      <c r="D24" s="182" t="s">
        <v>274</v>
      </c>
      <c r="E24" s="182"/>
      <c r="F24" s="182" t="s">
        <v>4</v>
      </c>
      <c r="G24" s="182"/>
      <c r="H24" s="182"/>
      <c r="I24" s="182"/>
      <c r="J24" s="182" t="s">
        <v>274</v>
      </c>
      <c r="K24" s="182"/>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row>
    <row r="25" spans="1:100" s="164" customFormat="1" x14ac:dyDescent="0.25">
      <c r="A25" s="132"/>
      <c r="B25"/>
      <c r="C25"/>
      <c r="D25" s="12"/>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row>
    <row r="26" spans="1:100" s="164" customFormat="1" x14ac:dyDescent="0.25">
      <c r="A26" s="132"/>
      <c r="B26"/>
      <c r="C26"/>
      <c r="D26" s="12"/>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row>
    <row r="27" spans="1:100" s="164" customFormat="1" x14ac:dyDescent="0.25">
      <c r="A27" s="132"/>
      <c r="B27"/>
      <c r="C27"/>
      <c r="D27" s="12"/>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row>
    <row r="28" spans="1:100" s="164" customFormat="1" x14ac:dyDescent="0.25">
      <c r="A28" s="132"/>
      <c r="B28"/>
      <c r="C28"/>
      <c r="D28" s="12"/>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row>
    <row r="29" spans="1:100" s="164" customFormat="1" x14ac:dyDescent="0.25">
      <c r="A29" s="132"/>
      <c r="B29"/>
      <c r="C29"/>
      <c r="D29" s="12"/>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row>
    <row r="30" spans="1:100" s="164" customFormat="1" x14ac:dyDescent="0.25">
      <c r="A30" s="132"/>
      <c r="B30"/>
      <c r="C30"/>
      <c r="D30" s="12"/>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row>
    <row r="31" spans="1:100" s="164" customFormat="1" x14ac:dyDescent="0.25">
      <c r="A31" s="132"/>
      <c r="B31"/>
      <c r="C31"/>
      <c r="D31" s="12"/>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row>
    <row r="32" spans="1:100" s="164" customFormat="1" x14ac:dyDescent="0.25">
      <c r="A32" s="132"/>
      <c r="B32"/>
      <c r="C32"/>
      <c r="D32" s="1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row>
    <row r="33" spans="1:100" s="164" customFormat="1" x14ac:dyDescent="0.25">
      <c r="A33" s="132"/>
      <c r="B33"/>
      <c r="C33"/>
      <c r="D33" s="12"/>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row>
    <row r="34" spans="1:100" s="164" customFormat="1" x14ac:dyDescent="0.25">
      <c r="A34" s="132"/>
      <c r="B34"/>
      <c r="C34"/>
      <c r="D34" s="12"/>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row>
    <row r="35" spans="1:100" s="164" customFormat="1" x14ac:dyDescent="0.25">
      <c r="A35" s="132"/>
      <c r="B35"/>
      <c r="C35"/>
      <c r="D35" s="12"/>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row>
    <row r="36" spans="1:100" s="164" customFormat="1" x14ac:dyDescent="0.25">
      <c r="A36" s="132"/>
      <c r="B36"/>
      <c r="C36"/>
      <c r="D36" s="12"/>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row>
    <row r="37" spans="1:100" s="164" customFormat="1" x14ac:dyDescent="0.25">
      <c r="A37" s="132"/>
      <c r="B37"/>
      <c r="C37"/>
      <c r="D37" s="12"/>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row>
    <row r="38" spans="1:100" s="164" customFormat="1" x14ac:dyDescent="0.25">
      <c r="A38" s="132"/>
      <c r="B38"/>
      <c r="C38"/>
      <c r="D38" s="12"/>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row>
    <row r="39" spans="1:100" s="164" customFormat="1" x14ac:dyDescent="0.25">
      <c r="A39" s="132"/>
      <c r="B39"/>
      <c r="C39"/>
      <c r="D39" s="12"/>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row>
    <row r="40" spans="1:100" s="164" customFormat="1" x14ac:dyDescent="0.25">
      <c r="A40" s="132"/>
      <c r="B40"/>
      <c r="C40"/>
      <c r="D40" s="12"/>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row>
    <row r="41" spans="1:100" s="164" customFormat="1" x14ac:dyDescent="0.25">
      <c r="A41" s="132"/>
      <c r="B41"/>
      <c r="C41"/>
      <c r="D41" s="12"/>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row>
    <row r="42" spans="1:100" s="164" customFormat="1" x14ac:dyDescent="0.25">
      <c r="A42" s="132"/>
      <c r="B42"/>
      <c r="C42"/>
      <c r="D42" s="1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row>
    <row r="43" spans="1:100" s="164" customFormat="1" x14ac:dyDescent="0.25">
      <c r="A43" s="132"/>
      <c r="B43"/>
      <c r="C43"/>
      <c r="D43" s="12"/>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row>
    <row r="44" spans="1:100" s="164" customFormat="1" x14ac:dyDescent="0.25">
      <c r="A44" s="132"/>
      <c r="B44"/>
      <c r="C44"/>
      <c r="D44" s="12"/>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row>
    <row r="47" spans="1:100" s="152" customFormat="1" x14ac:dyDescent="0.25">
      <c r="A47" s="132"/>
      <c r="B47"/>
      <c r="C47"/>
      <c r="D47" s="12"/>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row>
    <row r="51" spans="1:100" s="156" customFormat="1" x14ac:dyDescent="0.25">
      <c r="A51" s="132"/>
      <c r="B51"/>
      <c r="C51"/>
      <c r="D51" s="12"/>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row>
    <row r="54" spans="1:100" s="156" customFormat="1" x14ac:dyDescent="0.25">
      <c r="A54" s="132"/>
      <c r="B54"/>
      <c r="C54"/>
      <c r="D54" s="12"/>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row>
    <row r="59" spans="1:100" s="146" customFormat="1" x14ac:dyDescent="0.25">
      <c r="A59" s="132"/>
      <c r="B59"/>
      <c r="C59"/>
      <c r="D59" s="12"/>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sheetData>
  <mergeCells count="5">
    <mergeCell ref="H11:I11"/>
    <mergeCell ref="J11:K11"/>
    <mergeCell ref="B5:D5"/>
    <mergeCell ref="B6:D6"/>
    <mergeCell ref="E11:G11"/>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Basis!$I$7:$I$8</xm:f>
          </x14:formula1>
          <xm:sqref>B6:D6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tabColor theme="6" tint="-0.249977111117893"/>
  </sheetPr>
  <dimension ref="B1:H31"/>
  <sheetViews>
    <sheetView showGridLines="0" topLeftCell="A4" zoomScale="85" zoomScaleNormal="85" workbookViewId="0">
      <selection activeCell="F16" sqref="F16"/>
    </sheetView>
  </sheetViews>
  <sheetFormatPr defaultRowHeight="15" x14ac:dyDescent="0.25"/>
  <cols>
    <col min="2" max="2" width="10.140625" style="37" customWidth="1"/>
    <col min="3" max="3" width="9.85546875" style="37" customWidth="1"/>
    <col min="4" max="5" width="38.7109375" style="36" customWidth="1"/>
    <col min="6" max="6" width="14" style="38" customWidth="1"/>
    <col min="7" max="7" width="14" style="39" bestFit="1" customWidth="1"/>
    <col min="8" max="8" width="23.5703125" style="36" customWidth="1"/>
  </cols>
  <sheetData>
    <row r="1" spans="2:8" s="14" customFormat="1" ht="14.25" x14ac:dyDescent="0.2">
      <c r="B1" s="32"/>
      <c r="C1" s="33"/>
      <c r="D1" s="34"/>
      <c r="E1" s="34"/>
      <c r="F1" s="34"/>
      <c r="G1" s="57"/>
      <c r="H1" s="35"/>
    </row>
    <row r="2" spans="2:8" s="29" customFormat="1" ht="18.75" customHeight="1" x14ac:dyDescent="0.2">
      <c r="B2" s="23" t="s">
        <v>24</v>
      </c>
      <c r="C2" s="24"/>
      <c r="D2" s="25"/>
      <c r="E2" s="26"/>
      <c r="F2" s="27"/>
      <c r="G2" s="28"/>
      <c r="H2" s="26"/>
    </row>
    <row r="3" spans="2:8" x14ac:dyDescent="0.25">
      <c r="B3" s="15"/>
      <c r="C3" s="15"/>
      <c r="D3" s="17"/>
      <c r="E3" s="17"/>
      <c r="F3" s="22"/>
      <c r="G3" s="58"/>
      <c r="H3" s="17"/>
    </row>
    <row r="4" spans="2:8" x14ac:dyDescent="0.25">
      <c r="B4" s="15"/>
      <c r="C4" s="15"/>
      <c r="D4" s="16"/>
      <c r="E4" s="30"/>
      <c r="F4" s="31" t="s">
        <v>25</v>
      </c>
      <c r="G4" s="59"/>
      <c r="H4" s="17"/>
    </row>
    <row r="5" spans="2:8" x14ac:dyDescent="0.25">
      <c r="B5" s="15"/>
      <c r="C5" s="15"/>
      <c r="D5" s="17"/>
      <c r="E5" s="17"/>
      <c r="F5" s="31" t="s">
        <v>26</v>
      </c>
      <c r="G5" s="60"/>
      <c r="H5" s="17"/>
    </row>
    <row r="6" spans="2:8" x14ac:dyDescent="0.25">
      <c r="B6" s="15"/>
      <c r="C6" s="15"/>
      <c r="D6" s="17"/>
      <c r="E6" s="17"/>
      <c r="F6" s="31" t="s">
        <v>27</v>
      </c>
      <c r="G6" s="59" t="s">
        <v>138</v>
      </c>
      <c r="H6" s="17"/>
    </row>
    <row r="7" spans="2:8" x14ac:dyDescent="0.25">
      <c r="B7" s="15"/>
      <c r="C7" s="15"/>
      <c r="D7" s="17"/>
      <c r="E7" s="17"/>
      <c r="F7" s="79" t="s">
        <v>136</v>
      </c>
      <c r="G7" s="80">
        <v>1</v>
      </c>
      <c r="H7" s="17"/>
    </row>
    <row r="8" spans="2:8" x14ac:dyDescent="0.25">
      <c r="B8" s="107" t="s">
        <v>28</v>
      </c>
      <c r="C8" s="107" t="s">
        <v>29</v>
      </c>
      <c r="D8" s="108" t="s">
        <v>30</v>
      </c>
      <c r="E8" s="108" t="s">
        <v>31</v>
      </c>
      <c r="F8" s="109" t="s">
        <v>32</v>
      </c>
      <c r="G8" s="110" t="s">
        <v>33</v>
      </c>
      <c r="H8" s="108" t="s">
        <v>34</v>
      </c>
    </row>
    <row r="9" spans="2:8" x14ac:dyDescent="0.25">
      <c r="B9" s="66"/>
      <c r="C9" s="66"/>
      <c r="D9" s="67"/>
      <c r="E9" s="67"/>
      <c r="F9" s="68"/>
      <c r="G9" s="69" t="s">
        <v>84</v>
      </c>
      <c r="H9" s="67"/>
    </row>
    <row r="10" spans="2:8" ht="15" customHeight="1" x14ac:dyDescent="0.25">
      <c r="B10" s="21"/>
      <c r="C10" s="21"/>
      <c r="D10" s="21"/>
      <c r="E10" s="184"/>
      <c r="F10" s="20"/>
      <c r="G10" s="111" t="s">
        <v>85</v>
      </c>
      <c r="H10" s="184"/>
    </row>
    <row r="11" spans="2:8" ht="15" customHeight="1" x14ac:dyDescent="0.25">
      <c r="B11" s="21"/>
      <c r="C11" s="21"/>
      <c r="D11" s="21"/>
      <c r="E11" s="184"/>
      <c r="F11" s="20"/>
      <c r="G11" s="111" t="s">
        <v>61</v>
      </c>
      <c r="H11" s="184"/>
    </row>
    <row r="12" spans="2:8" x14ac:dyDescent="0.25">
      <c r="B12" s="21">
        <v>1</v>
      </c>
      <c r="C12" s="21">
        <v>1</v>
      </c>
      <c r="D12" s="144" t="s">
        <v>339</v>
      </c>
      <c r="E12" s="184"/>
      <c r="F12" s="20"/>
      <c r="G12" s="111"/>
      <c r="H12" s="184"/>
    </row>
    <row r="13" spans="2:8" x14ac:dyDescent="0.25">
      <c r="B13" s="21"/>
      <c r="C13" s="183" t="s">
        <v>329</v>
      </c>
      <c r="D13" s="184" t="s">
        <v>345</v>
      </c>
      <c r="E13" s="184"/>
      <c r="F13" s="20"/>
      <c r="G13" s="111"/>
      <c r="H13" s="184"/>
    </row>
    <row r="14" spans="2:8" x14ac:dyDescent="0.25">
      <c r="B14" s="21"/>
      <c r="C14" s="183" t="s">
        <v>329</v>
      </c>
      <c r="D14" s="184" t="s">
        <v>346</v>
      </c>
      <c r="E14" s="184"/>
      <c r="F14" s="20"/>
      <c r="G14" s="111"/>
      <c r="H14" s="184"/>
    </row>
    <row r="15" spans="2:8" ht="15" customHeight="1" x14ac:dyDescent="0.25">
      <c r="B15" s="21"/>
      <c r="C15" s="21" t="s">
        <v>330</v>
      </c>
      <c r="D15" s="207" t="s">
        <v>344</v>
      </c>
      <c r="E15" s="184" t="s">
        <v>314</v>
      </c>
      <c r="F15" s="20"/>
      <c r="G15" s="111"/>
      <c r="H15" s="184"/>
    </row>
    <row r="16" spans="2:8" x14ac:dyDescent="0.25">
      <c r="B16" s="21"/>
      <c r="C16" s="21" t="s">
        <v>330</v>
      </c>
      <c r="D16" s="208"/>
      <c r="E16" s="184" t="s">
        <v>273</v>
      </c>
      <c r="F16" s="20"/>
      <c r="G16" s="111"/>
      <c r="H16" s="184"/>
    </row>
    <row r="17" spans="2:8" x14ac:dyDescent="0.25">
      <c r="B17" s="21"/>
      <c r="C17" s="21" t="s">
        <v>330</v>
      </c>
      <c r="D17" s="208"/>
      <c r="E17" s="184" t="s">
        <v>282</v>
      </c>
      <c r="F17" s="20"/>
      <c r="G17" s="111"/>
      <c r="H17" s="184"/>
    </row>
    <row r="18" spans="2:8" x14ac:dyDescent="0.25">
      <c r="B18" s="21">
        <v>2</v>
      </c>
      <c r="C18" s="21">
        <v>2</v>
      </c>
      <c r="D18" s="144" t="s">
        <v>340</v>
      </c>
      <c r="E18" s="184"/>
      <c r="F18" s="20"/>
      <c r="G18" s="111"/>
      <c r="H18" s="184"/>
    </row>
    <row r="19" spans="2:8" x14ac:dyDescent="0.25">
      <c r="B19" s="21"/>
      <c r="C19" s="183" t="s">
        <v>329</v>
      </c>
      <c r="D19" s="184" t="s">
        <v>345</v>
      </c>
      <c r="E19" s="184"/>
      <c r="F19" s="20"/>
      <c r="G19" s="111"/>
      <c r="H19" s="184"/>
    </row>
    <row r="20" spans="2:8" x14ac:dyDescent="0.25">
      <c r="B20" s="21"/>
      <c r="C20" s="183" t="s">
        <v>329</v>
      </c>
      <c r="D20" s="184" t="s">
        <v>347</v>
      </c>
      <c r="E20" s="184"/>
      <c r="F20" s="20"/>
      <c r="G20" s="111"/>
      <c r="H20" s="184"/>
    </row>
    <row r="21" spans="2:8" x14ac:dyDescent="0.25">
      <c r="B21" s="21"/>
      <c r="C21" s="21" t="s">
        <v>330</v>
      </c>
      <c r="D21" s="207" t="s">
        <v>312</v>
      </c>
      <c r="E21" s="184" t="s">
        <v>272</v>
      </c>
      <c r="F21" s="20"/>
      <c r="G21" s="111"/>
      <c r="H21" s="184"/>
    </row>
    <row r="22" spans="2:8" x14ac:dyDescent="0.25">
      <c r="B22" s="21"/>
      <c r="C22" s="21" t="s">
        <v>330</v>
      </c>
      <c r="D22" s="208"/>
      <c r="E22" s="184" t="s">
        <v>274</v>
      </c>
      <c r="F22" s="20"/>
      <c r="G22" s="111"/>
      <c r="H22" s="184"/>
    </row>
    <row r="23" spans="2:8" x14ac:dyDescent="0.25">
      <c r="B23" s="21">
        <v>3</v>
      </c>
      <c r="C23" s="21">
        <v>3</v>
      </c>
      <c r="D23" s="144" t="s">
        <v>341</v>
      </c>
      <c r="E23" s="184"/>
      <c r="F23" s="20"/>
      <c r="G23" s="111"/>
      <c r="H23" s="184"/>
    </row>
    <row r="24" spans="2:8" x14ac:dyDescent="0.25">
      <c r="B24" s="21"/>
      <c r="C24" s="183" t="s">
        <v>329</v>
      </c>
      <c r="D24" s="184" t="s">
        <v>313</v>
      </c>
      <c r="E24" s="184"/>
      <c r="F24" s="20"/>
      <c r="G24" s="111"/>
      <c r="H24" s="184"/>
    </row>
    <row r="25" spans="2:8" ht="15" customHeight="1" x14ac:dyDescent="0.25">
      <c r="B25" s="21"/>
      <c r="C25" s="21" t="s">
        <v>330</v>
      </c>
      <c r="D25" s="207" t="s">
        <v>344</v>
      </c>
      <c r="E25" s="184" t="s">
        <v>314</v>
      </c>
      <c r="F25" s="20"/>
      <c r="G25" s="111"/>
      <c r="H25" s="184"/>
    </row>
    <row r="26" spans="2:8" x14ac:dyDescent="0.25">
      <c r="B26" s="21"/>
      <c r="C26" s="21" t="s">
        <v>330</v>
      </c>
      <c r="D26" s="208"/>
      <c r="E26" s="184" t="s">
        <v>315</v>
      </c>
      <c r="F26" s="20"/>
      <c r="G26" s="111"/>
      <c r="H26" s="184"/>
    </row>
    <row r="27" spans="2:8" x14ac:dyDescent="0.25">
      <c r="B27" s="21"/>
      <c r="C27" s="21" t="s">
        <v>330</v>
      </c>
      <c r="D27" s="208"/>
      <c r="E27" s="184" t="s">
        <v>275</v>
      </c>
      <c r="F27" s="20"/>
      <c r="G27" s="111"/>
      <c r="H27" s="184"/>
    </row>
    <row r="28" spans="2:8" x14ac:dyDescent="0.25">
      <c r="B28" s="21"/>
      <c r="C28" s="21"/>
      <c r="D28" s="184"/>
      <c r="E28" s="184"/>
      <c r="F28" s="20"/>
      <c r="G28" s="111"/>
      <c r="H28" s="184"/>
    </row>
    <row r="29" spans="2:8" x14ac:dyDescent="0.25">
      <c r="B29" s="21"/>
      <c r="C29" s="21"/>
      <c r="D29" s="184"/>
      <c r="E29" s="184"/>
      <c r="F29" s="20"/>
      <c r="G29" s="111"/>
      <c r="H29" s="184"/>
    </row>
    <row r="30" spans="2:8" x14ac:dyDescent="0.25">
      <c r="B30" s="21"/>
      <c r="C30" s="21"/>
      <c r="D30" s="184"/>
      <c r="E30" s="184"/>
      <c r="F30" s="20"/>
      <c r="G30" s="111"/>
      <c r="H30" s="184"/>
    </row>
    <row r="31" spans="2:8" x14ac:dyDescent="0.25">
      <c r="B31" s="21"/>
      <c r="C31" s="21"/>
      <c r="D31" s="184"/>
      <c r="E31" s="184"/>
      <c r="F31" s="20"/>
      <c r="G31" s="111"/>
      <c r="H31" s="184"/>
    </row>
  </sheetData>
  <autoFilter ref="B8:H9"/>
  <mergeCells count="3">
    <mergeCell ref="D15:D17"/>
    <mergeCell ref="D21:D22"/>
    <mergeCell ref="D25:D27"/>
  </mergeCells>
  <conditionalFormatting sqref="G1 G8:G64425">
    <cfRule type="cellIs" dxfId="43" priority="2" stopIfTrue="1" operator="equal">
      <formula>"ok"</formula>
    </cfRule>
    <cfRule type="cellIs" dxfId="42" priority="3" stopIfTrue="1" operator="equal">
      <formula>"nok"</formula>
    </cfRule>
    <cfRule type="cellIs" dxfId="41" priority="4" stopIfTrue="1" operator="equal">
      <formula>"nvt"</formula>
    </cfRule>
  </conditionalFormatting>
  <conditionalFormatting sqref="G1:G1048576">
    <cfRule type="cellIs" dxfId="40" priority="1" operator="equal">
      <formula>"todo"</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tabColor theme="2" tint="-0.249977111117893"/>
  </sheetPr>
  <dimension ref="B5:F12"/>
  <sheetViews>
    <sheetView showGridLines="0" zoomScale="85" zoomScaleNormal="85" workbookViewId="0">
      <selection activeCell="D18" sqref="D18"/>
    </sheetView>
  </sheetViews>
  <sheetFormatPr defaultRowHeight="15" x14ac:dyDescent="0.25"/>
  <cols>
    <col min="1" max="1" width="13.140625" customWidth="1"/>
    <col min="2" max="2" width="8" customWidth="1"/>
    <col min="3" max="3" width="50.28515625" customWidth="1"/>
    <col min="4" max="4" width="32" customWidth="1"/>
    <col min="5" max="5" width="18.42578125" customWidth="1"/>
  </cols>
  <sheetData>
    <row r="5" spans="2:6" s="125" customFormat="1" x14ac:dyDescent="0.25"/>
    <row r="6" spans="2:6" s="125" customFormat="1" x14ac:dyDescent="0.25"/>
    <row r="7" spans="2:6" s="125" customFormat="1" x14ac:dyDescent="0.25">
      <c r="F7" s="2" t="s">
        <v>221</v>
      </c>
    </row>
    <row r="8" spans="2:6" s="125" customFormat="1" x14ac:dyDescent="0.25">
      <c r="F8" s="126" t="str">
        <f>CONCATENATE("|",B8,"|",C8,"|",D8,"|")</f>
        <v>||||</v>
      </c>
    </row>
    <row r="9" spans="2:6" x14ac:dyDescent="0.25">
      <c r="B9" s="127" t="s">
        <v>8</v>
      </c>
      <c r="C9" s="127" t="s">
        <v>218</v>
      </c>
      <c r="D9" s="127" t="s">
        <v>31</v>
      </c>
      <c r="F9" s="126" t="str">
        <f>CONCATENATE("||",B9,"||",C9,"||",D9,"||")</f>
        <v>||Nr||Situatie||Verwachting||</v>
      </c>
    </row>
    <row r="10" spans="2:6" ht="45" x14ac:dyDescent="0.25">
      <c r="B10" s="40">
        <v>1</v>
      </c>
      <c r="C10" s="40" t="s">
        <v>339</v>
      </c>
      <c r="D10" s="40" t="s">
        <v>342</v>
      </c>
      <c r="F10" s="179" t="str">
        <f>CONCATENATE("|",B10,"|",C10,"|",D10,"|")</f>
        <v>|1|geen weekaanbieding en jonger dan 12|geen weekaanbieding korting en 5% korting op alles en gratis teddybeer|</v>
      </c>
    </row>
    <row r="11" spans="2:6" ht="30" x14ac:dyDescent="0.25">
      <c r="B11" s="40">
        <v>2</v>
      </c>
      <c r="C11" s="40" t="s">
        <v>340</v>
      </c>
      <c r="D11" s="40" t="s">
        <v>278</v>
      </c>
      <c r="F11" s="179" t="str">
        <f>CONCATENATE("|",B11,"|",C11,"|",D11,"|")</f>
        <v>|2|weekaanbieding en ouder dan 65|25% korting op weekaanbieding en gratis bumpersticker|</v>
      </c>
    </row>
    <row r="12" spans="2:6" ht="60" x14ac:dyDescent="0.25">
      <c r="B12" s="40">
        <v>3</v>
      </c>
      <c r="C12" s="40" t="s">
        <v>341</v>
      </c>
      <c r="D12" s="40" t="s">
        <v>343</v>
      </c>
      <c r="F12" s="179" t="str">
        <f>CONCATENATE("|",B12,"|",C12,"|",D12,"|")</f>
        <v>|3|geen weekaanbieding en klantenpas|geen weekaanbieding korting en geef klant klantenpas aanvraagformulier en gratis kruiswoordpuzzel|</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7" tint="0.59999389629810485"/>
  </sheetPr>
  <dimension ref="B2:Q9"/>
  <sheetViews>
    <sheetView showGridLines="0" zoomScale="70" zoomScaleNormal="70" workbookViewId="0">
      <selection activeCell="C17" sqref="C17"/>
    </sheetView>
  </sheetViews>
  <sheetFormatPr defaultRowHeight="15" x14ac:dyDescent="0.25"/>
  <cols>
    <col min="3" max="3" width="57.85546875" style="12" customWidth="1"/>
    <col min="4" max="4" width="19.42578125" customWidth="1"/>
    <col min="5" max="5" width="13.28515625" customWidth="1"/>
    <col min="6" max="6" width="15.42578125" customWidth="1"/>
    <col min="7" max="7" width="23" customWidth="1"/>
    <col min="8" max="8" width="15.85546875" customWidth="1"/>
    <col min="9" max="9" width="15.85546875" style="70" customWidth="1"/>
    <col min="10" max="10" width="12.42578125" customWidth="1"/>
    <col min="11" max="11" width="18.85546875" customWidth="1"/>
    <col min="12" max="12" width="16.5703125" customWidth="1"/>
    <col min="13" max="13" width="16.5703125" style="70" customWidth="1"/>
    <col min="14" max="16" width="16.5703125" customWidth="1"/>
    <col min="17" max="17" width="31.5703125" customWidth="1"/>
  </cols>
  <sheetData>
    <row r="2" spans="2:17" ht="18" x14ac:dyDescent="0.25">
      <c r="B2" s="23" t="s">
        <v>135</v>
      </c>
    </row>
    <row r="3" spans="2:17" x14ac:dyDescent="0.25">
      <c r="I3" s="82"/>
    </row>
    <row r="8" spans="2:17" x14ac:dyDescent="0.25">
      <c r="H8" s="209" t="s">
        <v>100</v>
      </c>
      <c r="I8" s="209"/>
      <c r="J8" s="209"/>
      <c r="K8" s="209"/>
      <c r="L8" s="209"/>
      <c r="M8" s="210"/>
      <c r="N8" s="210"/>
      <c r="O8" s="210"/>
      <c r="P8" s="210"/>
    </row>
    <row r="9" spans="2:17" x14ac:dyDescent="0.25">
      <c r="B9" s="121" t="s">
        <v>8</v>
      </c>
      <c r="C9" s="122" t="s">
        <v>20</v>
      </c>
      <c r="D9" s="123" t="s">
        <v>94</v>
      </c>
      <c r="E9" s="123" t="s">
        <v>6</v>
      </c>
      <c r="F9" s="123" t="s">
        <v>98</v>
      </c>
      <c r="G9" s="123" t="s">
        <v>97</v>
      </c>
      <c r="H9" s="123" t="s">
        <v>137</v>
      </c>
      <c r="I9" s="123" t="s">
        <v>25</v>
      </c>
      <c r="J9" s="123" t="s">
        <v>26</v>
      </c>
      <c r="K9" s="123" t="s">
        <v>95</v>
      </c>
      <c r="L9" s="123" t="s">
        <v>136</v>
      </c>
      <c r="M9" s="124" t="s">
        <v>25</v>
      </c>
      <c r="N9" s="124" t="s">
        <v>26</v>
      </c>
      <c r="O9" s="124" t="s">
        <v>95</v>
      </c>
      <c r="P9" s="124" t="s">
        <v>136</v>
      </c>
      <c r="Q9" s="114" t="s">
        <v>214</v>
      </c>
    </row>
  </sheetData>
  <mergeCells count="2">
    <mergeCell ref="H8:L8"/>
    <mergeCell ref="M8:P8"/>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CX1006"/>
  <sheetViews>
    <sheetView showGridLines="0" zoomScale="70" zoomScaleNormal="70" workbookViewId="0">
      <selection activeCell="E31" sqref="E31"/>
    </sheetView>
  </sheetViews>
  <sheetFormatPr defaultRowHeight="15" x14ac:dyDescent="0.25"/>
  <cols>
    <col min="1" max="1" width="9.140625" style="87"/>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7"/>
    <col min="31" max="31" width="9.140625" style="87"/>
  </cols>
  <sheetData>
    <row r="2" spans="2:102" ht="18" x14ac:dyDescent="0.25">
      <c r="B2" s="23" t="s">
        <v>173</v>
      </c>
    </row>
    <row r="4" spans="2:102" x14ac:dyDescent="0.25">
      <c r="V4" s="211" t="s">
        <v>163</v>
      </c>
      <c r="W4" s="211"/>
      <c r="X4" s="211"/>
      <c r="Y4" s="211"/>
      <c r="Z4" s="211"/>
      <c r="AA4" s="211" t="s">
        <v>164</v>
      </c>
      <c r="AB4" s="211"/>
      <c r="AC4" s="211"/>
      <c r="AD4" s="211"/>
      <c r="AE4" s="211"/>
      <c r="AF4" s="211" t="s">
        <v>165</v>
      </c>
      <c r="AG4" s="211"/>
      <c r="AH4" s="211"/>
      <c r="AI4" s="211"/>
      <c r="AJ4" s="211"/>
      <c r="AK4" s="211" t="s">
        <v>135</v>
      </c>
      <c r="AL4" s="211"/>
      <c r="AM4" s="211"/>
    </row>
    <row r="5" spans="2:102" x14ac:dyDescent="0.25">
      <c r="B5" s="92" t="s">
        <v>110</v>
      </c>
      <c r="C5" s="92" t="s">
        <v>101</v>
      </c>
      <c r="D5" s="92" t="s">
        <v>102</v>
      </c>
      <c r="E5" s="92" t="s">
        <v>99</v>
      </c>
      <c r="F5" s="92" t="s">
        <v>25</v>
      </c>
      <c r="G5" s="92" t="s">
        <v>104</v>
      </c>
      <c r="H5" s="92" t="s">
        <v>105</v>
      </c>
      <c r="I5" s="92" t="s">
        <v>96</v>
      </c>
      <c r="J5" s="92" t="s">
        <v>118</v>
      </c>
      <c r="K5" s="92" t="s">
        <v>6</v>
      </c>
      <c r="L5" s="92" t="s">
        <v>115</v>
      </c>
      <c r="M5" s="92" t="s">
        <v>108</v>
      </c>
      <c r="N5" s="92" t="s">
        <v>109</v>
      </c>
      <c r="O5" s="92" t="s">
        <v>107</v>
      </c>
      <c r="P5" s="92" t="s">
        <v>116</v>
      </c>
      <c r="Q5" s="92" t="s">
        <v>119</v>
      </c>
      <c r="R5" s="92" t="s">
        <v>81</v>
      </c>
      <c r="S5" s="92" t="s">
        <v>80</v>
      </c>
      <c r="T5" s="92" t="s">
        <v>23</v>
      </c>
      <c r="U5" s="92" t="s">
        <v>26</v>
      </c>
      <c r="V5" s="92" t="s">
        <v>84</v>
      </c>
      <c r="W5" s="92" t="s">
        <v>85</v>
      </c>
      <c r="X5" s="92" t="s">
        <v>61</v>
      </c>
      <c r="Y5" s="92" t="s">
        <v>161</v>
      </c>
      <c r="Z5" s="92" t="s">
        <v>172</v>
      </c>
      <c r="AA5" s="92" t="s">
        <v>84</v>
      </c>
      <c r="AB5" s="92" t="s">
        <v>85</v>
      </c>
      <c r="AC5" s="92" t="s">
        <v>61</v>
      </c>
      <c r="AD5" s="92" t="s">
        <v>161</v>
      </c>
      <c r="AE5" s="92" t="s">
        <v>172</v>
      </c>
      <c r="AF5" s="92" t="s">
        <v>84</v>
      </c>
      <c r="AG5" s="92" t="s">
        <v>85</v>
      </c>
      <c r="AH5" s="92" t="s">
        <v>61</v>
      </c>
      <c r="AI5" s="92" t="s">
        <v>161</v>
      </c>
      <c r="AJ5" s="92" t="s">
        <v>172</v>
      </c>
      <c r="AK5" s="92" t="s">
        <v>145</v>
      </c>
      <c r="AL5" s="92" t="s">
        <v>144</v>
      </c>
      <c r="AM5" s="92" t="s">
        <v>172</v>
      </c>
    </row>
    <row r="6" spans="2:102" x14ac:dyDescent="0.25">
      <c r="B6" s="90" t="s">
        <v>174</v>
      </c>
      <c r="C6" s="90" t="s">
        <v>114</v>
      </c>
      <c r="D6" s="90" t="s">
        <v>179</v>
      </c>
      <c r="E6" s="90" t="s">
        <v>187</v>
      </c>
      <c r="F6" s="90" t="s">
        <v>184</v>
      </c>
      <c r="G6" s="90" t="s">
        <v>124</v>
      </c>
      <c r="H6" s="90" t="s">
        <v>117</v>
      </c>
      <c r="I6" s="90" t="s">
        <v>126</v>
      </c>
      <c r="J6" s="90" t="s">
        <v>186</v>
      </c>
      <c r="K6" s="90" t="s">
        <v>127</v>
      </c>
      <c r="L6" s="90" t="s">
        <v>106</v>
      </c>
      <c r="M6" s="90" t="s">
        <v>106</v>
      </c>
      <c r="N6" s="90" t="s">
        <v>106</v>
      </c>
      <c r="O6" s="90" t="s">
        <v>106</v>
      </c>
      <c r="P6" s="90" t="s">
        <v>106</v>
      </c>
      <c r="Q6" s="90">
        <v>8</v>
      </c>
      <c r="R6" s="90">
        <v>1.2</v>
      </c>
      <c r="S6" s="90" t="s">
        <v>184</v>
      </c>
      <c r="T6" s="90" t="s">
        <v>185</v>
      </c>
      <c r="U6" s="83">
        <v>40179</v>
      </c>
      <c r="V6" s="90">
        <v>5</v>
      </c>
      <c r="W6" s="90">
        <v>1</v>
      </c>
      <c r="X6" s="90"/>
      <c r="Y6" s="90"/>
      <c r="Z6" s="90">
        <v>6</v>
      </c>
      <c r="AA6" s="90">
        <v>15</v>
      </c>
      <c r="AB6" s="90">
        <v>1</v>
      </c>
      <c r="AC6" s="90"/>
      <c r="AD6" s="90"/>
      <c r="AE6" s="90">
        <v>16</v>
      </c>
      <c r="AF6" s="90">
        <v>26</v>
      </c>
      <c r="AG6" s="90">
        <v>2</v>
      </c>
      <c r="AH6" s="90"/>
      <c r="AI6" s="90"/>
      <c r="AJ6" s="90">
        <v>28</v>
      </c>
      <c r="AK6" s="90">
        <v>2</v>
      </c>
      <c r="AL6" s="90">
        <v>4</v>
      </c>
      <c r="AM6" s="90">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x14ac:dyDescent="0.25">
      <c r="B7" s="90" t="s">
        <v>174</v>
      </c>
      <c r="C7" s="90" t="s">
        <v>114</v>
      </c>
      <c r="D7" s="90" t="s">
        <v>103</v>
      </c>
      <c r="E7" s="90" t="s">
        <v>180</v>
      </c>
      <c r="F7" s="90" t="s">
        <v>181</v>
      </c>
      <c r="G7" s="90" t="s">
        <v>122</v>
      </c>
      <c r="H7" s="90" t="s">
        <v>117</v>
      </c>
      <c r="I7" s="90" t="s">
        <v>126</v>
      </c>
      <c r="J7" s="90" t="s">
        <v>183</v>
      </c>
      <c r="K7" s="90" t="s">
        <v>127</v>
      </c>
      <c r="L7" s="90" t="s">
        <v>106</v>
      </c>
      <c r="M7" s="90" t="s">
        <v>106</v>
      </c>
      <c r="N7" s="90" t="s">
        <v>106</v>
      </c>
      <c r="O7" s="90" t="s">
        <v>106</v>
      </c>
      <c r="P7" s="90" t="s">
        <v>106</v>
      </c>
      <c r="Q7" s="90">
        <v>2</v>
      </c>
      <c r="R7" s="90">
        <v>1.1000000000000001</v>
      </c>
      <c r="S7" s="90" t="s">
        <v>181</v>
      </c>
      <c r="T7" s="90" t="s">
        <v>182</v>
      </c>
      <c r="U7" s="83">
        <v>40179</v>
      </c>
      <c r="V7" s="90">
        <v>4</v>
      </c>
      <c r="W7" s="90">
        <v>2</v>
      </c>
      <c r="X7" s="90"/>
      <c r="Y7" s="90"/>
      <c r="Z7" s="90">
        <v>6</v>
      </c>
      <c r="AA7" s="90">
        <v>11</v>
      </c>
      <c r="AB7" s="90">
        <v>3</v>
      </c>
      <c r="AC7" s="90">
        <v>2</v>
      </c>
      <c r="AD7" s="90"/>
      <c r="AE7" s="90">
        <v>16</v>
      </c>
      <c r="AF7" s="90">
        <v>21</v>
      </c>
      <c r="AG7" s="90">
        <v>5</v>
      </c>
      <c r="AH7" s="90">
        <v>2</v>
      </c>
      <c r="AI7" s="90"/>
      <c r="AJ7" s="90">
        <v>28</v>
      </c>
      <c r="AK7" s="90">
        <v>2</v>
      </c>
      <c r="AL7" s="90">
        <v>2</v>
      </c>
      <c r="AM7" s="90">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x14ac:dyDescent="0.25">
      <c r="B8" s="90" t="s">
        <v>174</v>
      </c>
      <c r="C8" s="90" t="s">
        <v>114</v>
      </c>
      <c r="D8" s="90" t="s">
        <v>103</v>
      </c>
      <c r="E8" s="90" t="s">
        <v>180</v>
      </c>
      <c r="F8" s="90" t="s">
        <v>181</v>
      </c>
      <c r="G8" s="90" t="s">
        <v>122</v>
      </c>
      <c r="H8" s="90" t="s">
        <v>117</v>
      </c>
      <c r="I8" s="90" t="s">
        <v>126</v>
      </c>
      <c r="J8" s="90" t="s">
        <v>160</v>
      </c>
      <c r="K8" s="90" t="s">
        <v>127</v>
      </c>
      <c r="L8" s="90" t="s">
        <v>106</v>
      </c>
      <c r="M8" s="90" t="s">
        <v>106</v>
      </c>
      <c r="N8" s="90" t="s">
        <v>106</v>
      </c>
      <c r="O8" s="90" t="s">
        <v>106</v>
      </c>
      <c r="P8" s="90" t="s">
        <v>106</v>
      </c>
      <c r="Q8" s="90">
        <v>3</v>
      </c>
      <c r="R8" s="90">
        <v>1</v>
      </c>
      <c r="S8" s="90" t="s">
        <v>169</v>
      </c>
      <c r="T8" s="90" t="s">
        <v>170</v>
      </c>
      <c r="U8" s="83">
        <v>36526</v>
      </c>
      <c r="V8" s="90">
        <v>3</v>
      </c>
      <c r="W8" s="90">
        <v>3</v>
      </c>
      <c r="X8" s="90"/>
      <c r="Y8" s="90"/>
      <c r="Z8" s="90">
        <v>6</v>
      </c>
      <c r="AA8" s="90">
        <v>8</v>
      </c>
      <c r="AB8" s="90">
        <v>6</v>
      </c>
      <c r="AC8" s="90">
        <v>2</v>
      </c>
      <c r="AD8" s="90"/>
      <c r="AE8" s="90">
        <v>16</v>
      </c>
      <c r="AF8" s="90">
        <v>16</v>
      </c>
      <c r="AG8" s="90">
        <v>10</v>
      </c>
      <c r="AH8" s="90">
        <v>2</v>
      </c>
      <c r="AI8" s="90"/>
      <c r="AJ8" s="90">
        <v>28</v>
      </c>
      <c r="AK8" s="90">
        <v>2</v>
      </c>
      <c r="AL8" s="90">
        <v>1</v>
      </c>
      <c r="AM8" s="90">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x14ac:dyDescent="0.25">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x14ac:dyDescent="0.25">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x14ac:dyDescent="0.25">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x14ac:dyDescent="0.25">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x14ac:dyDescent="0.25">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x14ac:dyDescent="0.25">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x14ac:dyDescent="0.25">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x14ac:dyDescent="0.25">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x14ac:dyDescent="0.25">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x14ac:dyDescent="0.25">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x14ac:dyDescent="0.25">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x14ac:dyDescent="0.25">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x14ac:dyDescent="0.25">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x14ac:dyDescent="0.25">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x14ac:dyDescent="0.25">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x14ac:dyDescent="0.25">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x14ac:dyDescent="0.25">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x14ac:dyDescent="0.25">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x14ac:dyDescent="0.25">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x14ac:dyDescent="0.25">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x14ac:dyDescent="0.25">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x14ac:dyDescent="0.25">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x14ac:dyDescent="0.25">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x14ac:dyDescent="0.25">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x14ac:dyDescent="0.25">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x14ac:dyDescent="0.25">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x14ac:dyDescent="0.25">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x14ac:dyDescent="0.25">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x14ac:dyDescent="0.25">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x14ac:dyDescent="0.25">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x14ac:dyDescent="0.25">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x14ac:dyDescent="0.25">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x14ac:dyDescent="0.25">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x14ac:dyDescent="0.25">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x14ac:dyDescent="0.25">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x14ac:dyDescent="0.25">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x14ac:dyDescent="0.25">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x14ac:dyDescent="0.25">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x14ac:dyDescent="0.25">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x14ac:dyDescent="0.25">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x14ac:dyDescent="0.25">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x14ac:dyDescent="0.25">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x14ac:dyDescent="0.25">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x14ac:dyDescent="0.25">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x14ac:dyDescent="0.25">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x14ac:dyDescent="0.25">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x14ac:dyDescent="0.25">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x14ac:dyDescent="0.25">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x14ac:dyDescent="0.25">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x14ac:dyDescent="0.25">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x14ac:dyDescent="0.25">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x14ac:dyDescent="0.25">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x14ac:dyDescent="0.25">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x14ac:dyDescent="0.25">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x14ac:dyDescent="0.25">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x14ac:dyDescent="0.25">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x14ac:dyDescent="0.25">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x14ac:dyDescent="0.25">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x14ac:dyDescent="0.25">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x14ac:dyDescent="0.25">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x14ac:dyDescent="0.2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x14ac:dyDescent="0.25">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x14ac:dyDescent="0.2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x14ac:dyDescent="0.25">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x14ac:dyDescent="0.25">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x14ac:dyDescent="0.25">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x14ac:dyDescent="0.25">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x14ac:dyDescent="0.25">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x14ac:dyDescent="0.25">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x14ac:dyDescent="0.25">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x14ac:dyDescent="0.25">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x14ac:dyDescent="0.25">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x14ac:dyDescent="0.25">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x14ac:dyDescent="0.25">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x14ac:dyDescent="0.2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x14ac:dyDescent="0.25">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x14ac:dyDescent="0.25">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x14ac:dyDescent="0.25">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x14ac:dyDescent="0.25">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x14ac:dyDescent="0.25">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x14ac:dyDescent="0.25">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x14ac:dyDescent="0.2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x14ac:dyDescent="0.25">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x14ac:dyDescent="0.25">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x14ac:dyDescent="0.25">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x14ac:dyDescent="0.25">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x14ac:dyDescent="0.25">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x14ac:dyDescent="0.25">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x14ac:dyDescent="0.25">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x14ac:dyDescent="0.25">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x14ac:dyDescent="0.25">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x14ac:dyDescent="0.25">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x14ac:dyDescent="0.25">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x14ac:dyDescent="0.25">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x14ac:dyDescent="0.25">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x14ac:dyDescent="0.25">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x14ac:dyDescent="0.25">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x14ac:dyDescent="0.25">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x14ac:dyDescent="0.25">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x14ac:dyDescent="0.25">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x14ac:dyDescent="0.25">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x14ac:dyDescent="0.25">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x14ac:dyDescent="0.25">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x14ac:dyDescent="0.25">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x14ac:dyDescent="0.25">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x14ac:dyDescent="0.25">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x14ac:dyDescent="0.25">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x14ac:dyDescent="0.25">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x14ac:dyDescent="0.25">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x14ac:dyDescent="0.25">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x14ac:dyDescent="0.25">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x14ac:dyDescent="0.25">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x14ac:dyDescent="0.25">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x14ac:dyDescent="0.25">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x14ac:dyDescent="0.25">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x14ac:dyDescent="0.25">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x14ac:dyDescent="0.25">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x14ac:dyDescent="0.25">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x14ac:dyDescent="0.25">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x14ac:dyDescent="0.25">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x14ac:dyDescent="0.25">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x14ac:dyDescent="0.25">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x14ac:dyDescent="0.25">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x14ac:dyDescent="0.25">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x14ac:dyDescent="0.25">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x14ac:dyDescent="0.25">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x14ac:dyDescent="0.25">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x14ac:dyDescent="0.25">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x14ac:dyDescent="0.25">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x14ac:dyDescent="0.25">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x14ac:dyDescent="0.25">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x14ac:dyDescent="0.25">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x14ac:dyDescent="0.25">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x14ac:dyDescent="0.25">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x14ac:dyDescent="0.25">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x14ac:dyDescent="0.25">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x14ac:dyDescent="0.25">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x14ac:dyDescent="0.25">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x14ac:dyDescent="0.25">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x14ac:dyDescent="0.25">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x14ac:dyDescent="0.25">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x14ac:dyDescent="0.25">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x14ac:dyDescent="0.25">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x14ac:dyDescent="0.25">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x14ac:dyDescent="0.25">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x14ac:dyDescent="0.25">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x14ac:dyDescent="0.25">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x14ac:dyDescent="0.25">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x14ac:dyDescent="0.25">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x14ac:dyDescent="0.25">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x14ac:dyDescent="0.25">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x14ac:dyDescent="0.25">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x14ac:dyDescent="0.25">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x14ac:dyDescent="0.25">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x14ac:dyDescent="0.25">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x14ac:dyDescent="0.25">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x14ac:dyDescent="0.25">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x14ac:dyDescent="0.25">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x14ac:dyDescent="0.25">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x14ac:dyDescent="0.25">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x14ac:dyDescent="0.25">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x14ac:dyDescent="0.25">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x14ac:dyDescent="0.25">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x14ac:dyDescent="0.25">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x14ac:dyDescent="0.25">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x14ac:dyDescent="0.25">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x14ac:dyDescent="0.25">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x14ac:dyDescent="0.25">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x14ac:dyDescent="0.25">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x14ac:dyDescent="0.25">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x14ac:dyDescent="0.25">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x14ac:dyDescent="0.25">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x14ac:dyDescent="0.25">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x14ac:dyDescent="0.25">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x14ac:dyDescent="0.25">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x14ac:dyDescent="0.25">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x14ac:dyDescent="0.25">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x14ac:dyDescent="0.25">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x14ac:dyDescent="0.25">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x14ac:dyDescent="0.25">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x14ac:dyDescent="0.25">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x14ac:dyDescent="0.25">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x14ac:dyDescent="0.25">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x14ac:dyDescent="0.25">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x14ac:dyDescent="0.25">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x14ac:dyDescent="0.25">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x14ac:dyDescent="0.25">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x14ac:dyDescent="0.25">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x14ac:dyDescent="0.25">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x14ac:dyDescent="0.25">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x14ac:dyDescent="0.25">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x14ac:dyDescent="0.25">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x14ac:dyDescent="0.25">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x14ac:dyDescent="0.25">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x14ac:dyDescent="0.25">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x14ac:dyDescent="0.25">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x14ac:dyDescent="0.25">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x14ac:dyDescent="0.25">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x14ac:dyDescent="0.25">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x14ac:dyDescent="0.25">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x14ac:dyDescent="0.25">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x14ac:dyDescent="0.25">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x14ac:dyDescent="0.25">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x14ac:dyDescent="0.25">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x14ac:dyDescent="0.25">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x14ac:dyDescent="0.25">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x14ac:dyDescent="0.25">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x14ac:dyDescent="0.25">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x14ac:dyDescent="0.25">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x14ac:dyDescent="0.25">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x14ac:dyDescent="0.25">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x14ac:dyDescent="0.25">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x14ac:dyDescent="0.25">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x14ac:dyDescent="0.25">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x14ac:dyDescent="0.25">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x14ac:dyDescent="0.25">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x14ac:dyDescent="0.25">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x14ac:dyDescent="0.25">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x14ac:dyDescent="0.25">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x14ac:dyDescent="0.25">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x14ac:dyDescent="0.25">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x14ac:dyDescent="0.25">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x14ac:dyDescent="0.25">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x14ac:dyDescent="0.25">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x14ac:dyDescent="0.25">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x14ac:dyDescent="0.25">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x14ac:dyDescent="0.25">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x14ac:dyDescent="0.25">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x14ac:dyDescent="0.25">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x14ac:dyDescent="0.25">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x14ac:dyDescent="0.25">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x14ac:dyDescent="0.25">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x14ac:dyDescent="0.25">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x14ac:dyDescent="0.25">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x14ac:dyDescent="0.25">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x14ac:dyDescent="0.25">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x14ac:dyDescent="0.25">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x14ac:dyDescent="0.25">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x14ac:dyDescent="0.25">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x14ac:dyDescent="0.25">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x14ac:dyDescent="0.25">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x14ac:dyDescent="0.25">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x14ac:dyDescent="0.25">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x14ac:dyDescent="0.25">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x14ac:dyDescent="0.25">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x14ac:dyDescent="0.25">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x14ac:dyDescent="0.25">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x14ac:dyDescent="0.25">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x14ac:dyDescent="0.25">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x14ac:dyDescent="0.25">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x14ac:dyDescent="0.25">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x14ac:dyDescent="0.25">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x14ac:dyDescent="0.25">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x14ac:dyDescent="0.25">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x14ac:dyDescent="0.25">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x14ac:dyDescent="0.25">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x14ac:dyDescent="0.25">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x14ac:dyDescent="0.25">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x14ac:dyDescent="0.25">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x14ac:dyDescent="0.25">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x14ac:dyDescent="0.25">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x14ac:dyDescent="0.25">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x14ac:dyDescent="0.25">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x14ac:dyDescent="0.25">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x14ac:dyDescent="0.25">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x14ac:dyDescent="0.25">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x14ac:dyDescent="0.25">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x14ac:dyDescent="0.25">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x14ac:dyDescent="0.25">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x14ac:dyDescent="0.25">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x14ac:dyDescent="0.25">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x14ac:dyDescent="0.25">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x14ac:dyDescent="0.25">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x14ac:dyDescent="0.25">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x14ac:dyDescent="0.25">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x14ac:dyDescent="0.25">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x14ac:dyDescent="0.25">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x14ac:dyDescent="0.25">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x14ac:dyDescent="0.25">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x14ac:dyDescent="0.25">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x14ac:dyDescent="0.25">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x14ac:dyDescent="0.25">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x14ac:dyDescent="0.25">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x14ac:dyDescent="0.25">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x14ac:dyDescent="0.25">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x14ac:dyDescent="0.25">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x14ac:dyDescent="0.25">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x14ac:dyDescent="0.25">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x14ac:dyDescent="0.25">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x14ac:dyDescent="0.25">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x14ac:dyDescent="0.25">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x14ac:dyDescent="0.25">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x14ac:dyDescent="0.25">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x14ac:dyDescent="0.25">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x14ac:dyDescent="0.25">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x14ac:dyDescent="0.25">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x14ac:dyDescent="0.25">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x14ac:dyDescent="0.25">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x14ac:dyDescent="0.25">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x14ac:dyDescent="0.25">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x14ac:dyDescent="0.25">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x14ac:dyDescent="0.25">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x14ac:dyDescent="0.25">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x14ac:dyDescent="0.25">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x14ac:dyDescent="0.25">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x14ac:dyDescent="0.25">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x14ac:dyDescent="0.25">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x14ac:dyDescent="0.25">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x14ac:dyDescent="0.25">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x14ac:dyDescent="0.25">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x14ac:dyDescent="0.25">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x14ac:dyDescent="0.25">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x14ac:dyDescent="0.25">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x14ac:dyDescent="0.25">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x14ac:dyDescent="0.25">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x14ac:dyDescent="0.25">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x14ac:dyDescent="0.25">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x14ac:dyDescent="0.25">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x14ac:dyDescent="0.25">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x14ac:dyDescent="0.25">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x14ac:dyDescent="0.25">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x14ac:dyDescent="0.25">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x14ac:dyDescent="0.25">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x14ac:dyDescent="0.25">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x14ac:dyDescent="0.25">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x14ac:dyDescent="0.25">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x14ac:dyDescent="0.25">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x14ac:dyDescent="0.25">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x14ac:dyDescent="0.25">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x14ac:dyDescent="0.25">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x14ac:dyDescent="0.25">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x14ac:dyDescent="0.25">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x14ac:dyDescent="0.25">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x14ac:dyDescent="0.25">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x14ac:dyDescent="0.25">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x14ac:dyDescent="0.25">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x14ac:dyDescent="0.25">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x14ac:dyDescent="0.25">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x14ac:dyDescent="0.25">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x14ac:dyDescent="0.25">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x14ac:dyDescent="0.25">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x14ac:dyDescent="0.25">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x14ac:dyDescent="0.25">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x14ac:dyDescent="0.25">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x14ac:dyDescent="0.25">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x14ac:dyDescent="0.25">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x14ac:dyDescent="0.25">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x14ac:dyDescent="0.25">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x14ac:dyDescent="0.25">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x14ac:dyDescent="0.25">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x14ac:dyDescent="0.25">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x14ac:dyDescent="0.25">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x14ac:dyDescent="0.25">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x14ac:dyDescent="0.25">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x14ac:dyDescent="0.25">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x14ac:dyDescent="0.25">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x14ac:dyDescent="0.25">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x14ac:dyDescent="0.25">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x14ac:dyDescent="0.25">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x14ac:dyDescent="0.25">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x14ac:dyDescent="0.25">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x14ac:dyDescent="0.25">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x14ac:dyDescent="0.25">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x14ac:dyDescent="0.25">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x14ac:dyDescent="0.25">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x14ac:dyDescent="0.25">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x14ac:dyDescent="0.25">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x14ac:dyDescent="0.25">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x14ac:dyDescent="0.25">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x14ac:dyDescent="0.25">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x14ac:dyDescent="0.25">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x14ac:dyDescent="0.25">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x14ac:dyDescent="0.25">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x14ac:dyDescent="0.25">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x14ac:dyDescent="0.25">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x14ac:dyDescent="0.25">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x14ac:dyDescent="0.25">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x14ac:dyDescent="0.25">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x14ac:dyDescent="0.25">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x14ac:dyDescent="0.25">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x14ac:dyDescent="0.25">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x14ac:dyDescent="0.25">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x14ac:dyDescent="0.25">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x14ac:dyDescent="0.25">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x14ac:dyDescent="0.25">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x14ac:dyDescent="0.25">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x14ac:dyDescent="0.25">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x14ac:dyDescent="0.25">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x14ac:dyDescent="0.25">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x14ac:dyDescent="0.25">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x14ac:dyDescent="0.25">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x14ac:dyDescent="0.25">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x14ac:dyDescent="0.25">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x14ac:dyDescent="0.25">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x14ac:dyDescent="0.25">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x14ac:dyDescent="0.25">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x14ac:dyDescent="0.25">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x14ac:dyDescent="0.25">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x14ac:dyDescent="0.25">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x14ac:dyDescent="0.25">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x14ac:dyDescent="0.25">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x14ac:dyDescent="0.25">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x14ac:dyDescent="0.25">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x14ac:dyDescent="0.25">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x14ac:dyDescent="0.25">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x14ac:dyDescent="0.25">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x14ac:dyDescent="0.25">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x14ac:dyDescent="0.25">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x14ac:dyDescent="0.25">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x14ac:dyDescent="0.25">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x14ac:dyDescent="0.25">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x14ac:dyDescent="0.25">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x14ac:dyDescent="0.25">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x14ac:dyDescent="0.25">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x14ac:dyDescent="0.25">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x14ac:dyDescent="0.25">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x14ac:dyDescent="0.25">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x14ac:dyDescent="0.25">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x14ac:dyDescent="0.25">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x14ac:dyDescent="0.25">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x14ac:dyDescent="0.25">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x14ac:dyDescent="0.25">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x14ac:dyDescent="0.25">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x14ac:dyDescent="0.25">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x14ac:dyDescent="0.25">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x14ac:dyDescent="0.25">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x14ac:dyDescent="0.25">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x14ac:dyDescent="0.25">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x14ac:dyDescent="0.25">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x14ac:dyDescent="0.25">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x14ac:dyDescent="0.25">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x14ac:dyDescent="0.25">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x14ac:dyDescent="0.25">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x14ac:dyDescent="0.25">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x14ac:dyDescent="0.25">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x14ac:dyDescent="0.25">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x14ac:dyDescent="0.25">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x14ac:dyDescent="0.25">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x14ac:dyDescent="0.25">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x14ac:dyDescent="0.25">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x14ac:dyDescent="0.25">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x14ac:dyDescent="0.25">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x14ac:dyDescent="0.25">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x14ac:dyDescent="0.25">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x14ac:dyDescent="0.25">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x14ac:dyDescent="0.25">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x14ac:dyDescent="0.25">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x14ac:dyDescent="0.25">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x14ac:dyDescent="0.25">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x14ac:dyDescent="0.25">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x14ac:dyDescent="0.25">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x14ac:dyDescent="0.25">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x14ac:dyDescent="0.25">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x14ac:dyDescent="0.25">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x14ac:dyDescent="0.25">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x14ac:dyDescent="0.25">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x14ac:dyDescent="0.25">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x14ac:dyDescent="0.25">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x14ac:dyDescent="0.25">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x14ac:dyDescent="0.25">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x14ac:dyDescent="0.25">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x14ac:dyDescent="0.25">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x14ac:dyDescent="0.25">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x14ac:dyDescent="0.25">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x14ac:dyDescent="0.25">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x14ac:dyDescent="0.25">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x14ac:dyDescent="0.25">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x14ac:dyDescent="0.25">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x14ac:dyDescent="0.25">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x14ac:dyDescent="0.25">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x14ac:dyDescent="0.25">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x14ac:dyDescent="0.25">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x14ac:dyDescent="0.25">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x14ac:dyDescent="0.25">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x14ac:dyDescent="0.25">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x14ac:dyDescent="0.25">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x14ac:dyDescent="0.25">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x14ac:dyDescent="0.25">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x14ac:dyDescent="0.25">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x14ac:dyDescent="0.25">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x14ac:dyDescent="0.25">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x14ac:dyDescent="0.25">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x14ac:dyDescent="0.25">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x14ac:dyDescent="0.25">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x14ac:dyDescent="0.25">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x14ac:dyDescent="0.25">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x14ac:dyDescent="0.25">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x14ac:dyDescent="0.25">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x14ac:dyDescent="0.25">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x14ac:dyDescent="0.25">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x14ac:dyDescent="0.25">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x14ac:dyDescent="0.25">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x14ac:dyDescent="0.25">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x14ac:dyDescent="0.25">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x14ac:dyDescent="0.25">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x14ac:dyDescent="0.25">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x14ac:dyDescent="0.25">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x14ac:dyDescent="0.25">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x14ac:dyDescent="0.25">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x14ac:dyDescent="0.25">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x14ac:dyDescent="0.25">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x14ac:dyDescent="0.25">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x14ac:dyDescent="0.25">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x14ac:dyDescent="0.25">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x14ac:dyDescent="0.25">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x14ac:dyDescent="0.25">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x14ac:dyDescent="0.25">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x14ac:dyDescent="0.25">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x14ac:dyDescent="0.25">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x14ac:dyDescent="0.25">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x14ac:dyDescent="0.25">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x14ac:dyDescent="0.25">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x14ac:dyDescent="0.25">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x14ac:dyDescent="0.25">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x14ac:dyDescent="0.25">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x14ac:dyDescent="0.25">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x14ac:dyDescent="0.25">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x14ac:dyDescent="0.25">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x14ac:dyDescent="0.25">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x14ac:dyDescent="0.25">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x14ac:dyDescent="0.25">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x14ac:dyDescent="0.25">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x14ac:dyDescent="0.25">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x14ac:dyDescent="0.25">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x14ac:dyDescent="0.25">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x14ac:dyDescent="0.25">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x14ac:dyDescent="0.25">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x14ac:dyDescent="0.25">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x14ac:dyDescent="0.25">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x14ac:dyDescent="0.25">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x14ac:dyDescent="0.25">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x14ac:dyDescent="0.25">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x14ac:dyDescent="0.25">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x14ac:dyDescent="0.25">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x14ac:dyDescent="0.25">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x14ac:dyDescent="0.25">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x14ac:dyDescent="0.25">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x14ac:dyDescent="0.25">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x14ac:dyDescent="0.25">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x14ac:dyDescent="0.25">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x14ac:dyDescent="0.25">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x14ac:dyDescent="0.25">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x14ac:dyDescent="0.25">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x14ac:dyDescent="0.25">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x14ac:dyDescent="0.25">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x14ac:dyDescent="0.25">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x14ac:dyDescent="0.25">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x14ac:dyDescent="0.25">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x14ac:dyDescent="0.25">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x14ac:dyDescent="0.25">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x14ac:dyDescent="0.25">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x14ac:dyDescent="0.25">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x14ac:dyDescent="0.25">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x14ac:dyDescent="0.25">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x14ac:dyDescent="0.25">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x14ac:dyDescent="0.25">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x14ac:dyDescent="0.25">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x14ac:dyDescent="0.25">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x14ac:dyDescent="0.25">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x14ac:dyDescent="0.25">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x14ac:dyDescent="0.25">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x14ac:dyDescent="0.25">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x14ac:dyDescent="0.25">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x14ac:dyDescent="0.25">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x14ac:dyDescent="0.25">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x14ac:dyDescent="0.25">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x14ac:dyDescent="0.25">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x14ac:dyDescent="0.25">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x14ac:dyDescent="0.25">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x14ac:dyDescent="0.25">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x14ac:dyDescent="0.25">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x14ac:dyDescent="0.25">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x14ac:dyDescent="0.25">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x14ac:dyDescent="0.25">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x14ac:dyDescent="0.25">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x14ac:dyDescent="0.25">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x14ac:dyDescent="0.25">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x14ac:dyDescent="0.25">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x14ac:dyDescent="0.25">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x14ac:dyDescent="0.25">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x14ac:dyDescent="0.25">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x14ac:dyDescent="0.25">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x14ac:dyDescent="0.25">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x14ac:dyDescent="0.25">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x14ac:dyDescent="0.25">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x14ac:dyDescent="0.25">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x14ac:dyDescent="0.25">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x14ac:dyDescent="0.25">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x14ac:dyDescent="0.25">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x14ac:dyDescent="0.25">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x14ac:dyDescent="0.25">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x14ac:dyDescent="0.25">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x14ac:dyDescent="0.25">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x14ac:dyDescent="0.25">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x14ac:dyDescent="0.25">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x14ac:dyDescent="0.25">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x14ac:dyDescent="0.25">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x14ac:dyDescent="0.25">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x14ac:dyDescent="0.25">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x14ac:dyDescent="0.25">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x14ac:dyDescent="0.25">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x14ac:dyDescent="0.25">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x14ac:dyDescent="0.25">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x14ac:dyDescent="0.25">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x14ac:dyDescent="0.25">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x14ac:dyDescent="0.25">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x14ac:dyDescent="0.25">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x14ac:dyDescent="0.25">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x14ac:dyDescent="0.25">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x14ac:dyDescent="0.25">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x14ac:dyDescent="0.25">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x14ac:dyDescent="0.25">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x14ac:dyDescent="0.25">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x14ac:dyDescent="0.25">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x14ac:dyDescent="0.25">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x14ac:dyDescent="0.25">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x14ac:dyDescent="0.25">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x14ac:dyDescent="0.25">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x14ac:dyDescent="0.25">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x14ac:dyDescent="0.25">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x14ac:dyDescent="0.25">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x14ac:dyDescent="0.25">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x14ac:dyDescent="0.25">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x14ac:dyDescent="0.25">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x14ac:dyDescent="0.25">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x14ac:dyDescent="0.25">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x14ac:dyDescent="0.25">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x14ac:dyDescent="0.25">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x14ac:dyDescent="0.25">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x14ac:dyDescent="0.25">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x14ac:dyDescent="0.25">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x14ac:dyDescent="0.25">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x14ac:dyDescent="0.25">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x14ac:dyDescent="0.25">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x14ac:dyDescent="0.25">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x14ac:dyDescent="0.25">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x14ac:dyDescent="0.25">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x14ac:dyDescent="0.25">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x14ac:dyDescent="0.25">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x14ac:dyDescent="0.25">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x14ac:dyDescent="0.25">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x14ac:dyDescent="0.25">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x14ac:dyDescent="0.25">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x14ac:dyDescent="0.25">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x14ac:dyDescent="0.25">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x14ac:dyDescent="0.25">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x14ac:dyDescent="0.25">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x14ac:dyDescent="0.25">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x14ac:dyDescent="0.25">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x14ac:dyDescent="0.25">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x14ac:dyDescent="0.25">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x14ac:dyDescent="0.25">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x14ac:dyDescent="0.25">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x14ac:dyDescent="0.25">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x14ac:dyDescent="0.25">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x14ac:dyDescent="0.25">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x14ac:dyDescent="0.25">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x14ac:dyDescent="0.25">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x14ac:dyDescent="0.25">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x14ac:dyDescent="0.25">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x14ac:dyDescent="0.25">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x14ac:dyDescent="0.25">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x14ac:dyDescent="0.25">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x14ac:dyDescent="0.25">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x14ac:dyDescent="0.25">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x14ac:dyDescent="0.25">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x14ac:dyDescent="0.25">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x14ac:dyDescent="0.25">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x14ac:dyDescent="0.25">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x14ac:dyDescent="0.25">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x14ac:dyDescent="0.25">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x14ac:dyDescent="0.25">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x14ac:dyDescent="0.25">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x14ac:dyDescent="0.25">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x14ac:dyDescent="0.25">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x14ac:dyDescent="0.25">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x14ac:dyDescent="0.25">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x14ac:dyDescent="0.25">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x14ac:dyDescent="0.25">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x14ac:dyDescent="0.25">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x14ac:dyDescent="0.25">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x14ac:dyDescent="0.25">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x14ac:dyDescent="0.25">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x14ac:dyDescent="0.25">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x14ac:dyDescent="0.25">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x14ac:dyDescent="0.25">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x14ac:dyDescent="0.25">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x14ac:dyDescent="0.25">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x14ac:dyDescent="0.25">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x14ac:dyDescent="0.25">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x14ac:dyDescent="0.25">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x14ac:dyDescent="0.25">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x14ac:dyDescent="0.25">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x14ac:dyDescent="0.25">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x14ac:dyDescent="0.25">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x14ac:dyDescent="0.25">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x14ac:dyDescent="0.25">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x14ac:dyDescent="0.25">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x14ac:dyDescent="0.25">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x14ac:dyDescent="0.25">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x14ac:dyDescent="0.25">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x14ac:dyDescent="0.25">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x14ac:dyDescent="0.25">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x14ac:dyDescent="0.25">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x14ac:dyDescent="0.25">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x14ac:dyDescent="0.25">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x14ac:dyDescent="0.25">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x14ac:dyDescent="0.25">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x14ac:dyDescent="0.25">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x14ac:dyDescent="0.25">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x14ac:dyDescent="0.25">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x14ac:dyDescent="0.25">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x14ac:dyDescent="0.25">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x14ac:dyDescent="0.25">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x14ac:dyDescent="0.25">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x14ac:dyDescent="0.25">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x14ac:dyDescent="0.25">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x14ac:dyDescent="0.25">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x14ac:dyDescent="0.25">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x14ac:dyDescent="0.25">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x14ac:dyDescent="0.25">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x14ac:dyDescent="0.25">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x14ac:dyDescent="0.25">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x14ac:dyDescent="0.25">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x14ac:dyDescent="0.25">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x14ac:dyDescent="0.25">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x14ac:dyDescent="0.25">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x14ac:dyDescent="0.25">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x14ac:dyDescent="0.25">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x14ac:dyDescent="0.25">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x14ac:dyDescent="0.25">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x14ac:dyDescent="0.25">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x14ac:dyDescent="0.25">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x14ac:dyDescent="0.25">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x14ac:dyDescent="0.25">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x14ac:dyDescent="0.25">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x14ac:dyDescent="0.25">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x14ac:dyDescent="0.25">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x14ac:dyDescent="0.25">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x14ac:dyDescent="0.25">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x14ac:dyDescent="0.25">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x14ac:dyDescent="0.25">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x14ac:dyDescent="0.25">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x14ac:dyDescent="0.25">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x14ac:dyDescent="0.25">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x14ac:dyDescent="0.25">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x14ac:dyDescent="0.25">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x14ac:dyDescent="0.25">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x14ac:dyDescent="0.25">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x14ac:dyDescent="0.25">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x14ac:dyDescent="0.25">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x14ac:dyDescent="0.25">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x14ac:dyDescent="0.25">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x14ac:dyDescent="0.25">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x14ac:dyDescent="0.25">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x14ac:dyDescent="0.25">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x14ac:dyDescent="0.25">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x14ac:dyDescent="0.25">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x14ac:dyDescent="0.25">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x14ac:dyDescent="0.25">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x14ac:dyDescent="0.25">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x14ac:dyDescent="0.25">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x14ac:dyDescent="0.25">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x14ac:dyDescent="0.25">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x14ac:dyDescent="0.25">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x14ac:dyDescent="0.25">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x14ac:dyDescent="0.25">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x14ac:dyDescent="0.25">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x14ac:dyDescent="0.25">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x14ac:dyDescent="0.25">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x14ac:dyDescent="0.25">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x14ac:dyDescent="0.25">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x14ac:dyDescent="0.25">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x14ac:dyDescent="0.25">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x14ac:dyDescent="0.25">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x14ac:dyDescent="0.25">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x14ac:dyDescent="0.25">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x14ac:dyDescent="0.25">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x14ac:dyDescent="0.25">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x14ac:dyDescent="0.25">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x14ac:dyDescent="0.25">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x14ac:dyDescent="0.25">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x14ac:dyDescent="0.25">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x14ac:dyDescent="0.25">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x14ac:dyDescent="0.25">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x14ac:dyDescent="0.25">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x14ac:dyDescent="0.25">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x14ac:dyDescent="0.25">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x14ac:dyDescent="0.25">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x14ac:dyDescent="0.25">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x14ac:dyDescent="0.25">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x14ac:dyDescent="0.25">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x14ac:dyDescent="0.25">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x14ac:dyDescent="0.25">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x14ac:dyDescent="0.25">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x14ac:dyDescent="0.25">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x14ac:dyDescent="0.25">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x14ac:dyDescent="0.25">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x14ac:dyDescent="0.25">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x14ac:dyDescent="0.25">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x14ac:dyDescent="0.25">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x14ac:dyDescent="0.25">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x14ac:dyDescent="0.25">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x14ac:dyDescent="0.25">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x14ac:dyDescent="0.25">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x14ac:dyDescent="0.25">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x14ac:dyDescent="0.25">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x14ac:dyDescent="0.25">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x14ac:dyDescent="0.25">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x14ac:dyDescent="0.25">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x14ac:dyDescent="0.25">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x14ac:dyDescent="0.25">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x14ac:dyDescent="0.25">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x14ac:dyDescent="0.25">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x14ac:dyDescent="0.25">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x14ac:dyDescent="0.25">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x14ac:dyDescent="0.25">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x14ac:dyDescent="0.25">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x14ac:dyDescent="0.25">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x14ac:dyDescent="0.25">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x14ac:dyDescent="0.25">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x14ac:dyDescent="0.25">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x14ac:dyDescent="0.25">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x14ac:dyDescent="0.25">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x14ac:dyDescent="0.25">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x14ac:dyDescent="0.25">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x14ac:dyDescent="0.25">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x14ac:dyDescent="0.25">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x14ac:dyDescent="0.25">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x14ac:dyDescent="0.25">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x14ac:dyDescent="0.25">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x14ac:dyDescent="0.25">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x14ac:dyDescent="0.25">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x14ac:dyDescent="0.25">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x14ac:dyDescent="0.25">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x14ac:dyDescent="0.25">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x14ac:dyDescent="0.25">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x14ac:dyDescent="0.25">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x14ac:dyDescent="0.25">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x14ac:dyDescent="0.25">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x14ac:dyDescent="0.25">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x14ac:dyDescent="0.25">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x14ac:dyDescent="0.25">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x14ac:dyDescent="0.25">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x14ac:dyDescent="0.25">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x14ac:dyDescent="0.25">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x14ac:dyDescent="0.25">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x14ac:dyDescent="0.25">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x14ac:dyDescent="0.25">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x14ac:dyDescent="0.25">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x14ac:dyDescent="0.25">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x14ac:dyDescent="0.25">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x14ac:dyDescent="0.25">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x14ac:dyDescent="0.25">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x14ac:dyDescent="0.25">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x14ac:dyDescent="0.25">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x14ac:dyDescent="0.25">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x14ac:dyDescent="0.25">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x14ac:dyDescent="0.25">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x14ac:dyDescent="0.25">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x14ac:dyDescent="0.25">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x14ac:dyDescent="0.25">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x14ac:dyDescent="0.25">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x14ac:dyDescent="0.25">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x14ac:dyDescent="0.25">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x14ac:dyDescent="0.25">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x14ac:dyDescent="0.25">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x14ac:dyDescent="0.25">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x14ac:dyDescent="0.25">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x14ac:dyDescent="0.25">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x14ac:dyDescent="0.25">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x14ac:dyDescent="0.25">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x14ac:dyDescent="0.25">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x14ac:dyDescent="0.25">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x14ac:dyDescent="0.25">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x14ac:dyDescent="0.25">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x14ac:dyDescent="0.25">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x14ac:dyDescent="0.25">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x14ac:dyDescent="0.25">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x14ac:dyDescent="0.25">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x14ac:dyDescent="0.25">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x14ac:dyDescent="0.25">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x14ac:dyDescent="0.25">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x14ac:dyDescent="0.25">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x14ac:dyDescent="0.25">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x14ac:dyDescent="0.25">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x14ac:dyDescent="0.25">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x14ac:dyDescent="0.25">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x14ac:dyDescent="0.25">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x14ac:dyDescent="0.25">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x14ac:dyDescent="0.25">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x14ac:dyDescent="0.25">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x14ac:dyDescent="0.25">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x14ac:dyDescent="0.25">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x14ac:dyDescent="0.25">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x14ac:dyDescent="0.25">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x14ac:dyDescent="0.25">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x14ac:dyDescent="0.25">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x14ac:dyDescent="0.25">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x14ac:dyDescent="0.25">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x14ac:dyDescent="0.25">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x14ac:dyDescent="0.25">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x14ac:dyDescent="0.25">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x14ac:dyDescent="0.25">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x14ac:dyDescent="0.25">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x14ac:dyDescent="0.25">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x14ac:dyDescent="0.25">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x14ac:dyDescent="0.25">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x14ac:dyDescent="0.25">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x14ac:dyDescent="0.25">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x14ac:dyDescent="0.25">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x14ac:dyDescent="0.25">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x14ac:dyDescent="0.25">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x14ac:dyDescent="0.25">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x14ac:dyDescent="0.25">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x14ac:dyDescent="0.25">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x14ac:dyDescent="0.25">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x14ac:dyDescent="0.25">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x14ac:dyDescent="0.25">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x14ac:dyDescent="0.25">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x14ac:dyDescent="0.25">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x14ac:dyDescent="0.25">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x14ac:dyDescent="0.25">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x14ac:dyDescent="0.25">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x14ac:dyDescent="0.25">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x14ac:dyDescent="0.25">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x14ac:dyDescent="0.25">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x14ac:dyDescent="0.25">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x14ac:dyDescent="0.25">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x14ac:dyDescent="0.25">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x14ac:dyDescent="0.25">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x14ac:dyDescent="0.25">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x14ac:dyDescent="0.25">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x14ac:dyDescent="0.25">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x14ac:dyDescent="0.25">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x14ac:dyDescent="0.25">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x14ac:dyDescent="0.25">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x14ac:dyDescent="0.25">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x14ac:dyDescent="0.25">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x14ac:dyDescent="0.25">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x14ac:dyDescent="0.25">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x14ac:dyDescent="0.25">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x14ac:dyDescent="0.25">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x14ac:dyDescent="0.25">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x14ac:dyDescent="0.25">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x14ac:dyDescent="0.25">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x14ac:dyDescent="0.25">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x14ac:dyDescent="0.25">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x14ac:dyDescent="0.25">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x14ac:dyDescent="0.25">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x14ac:dyDescent="0.25">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x14ac:dyDescent="0.25">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x14ac:dyDescent="0.25">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x14ac:dyDescent="0.25">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x14ac:dyDescent="0.25">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x14ac:dyDescent="0.25">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x14ac:dyDescent="0.25">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x14ac:dyDescent="0.25">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x14ac:dyDescent="0.25">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x14ac:dyDescent="0.25">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x14ac:dyDescent="0.25">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x14ac:dyDescent="0.25">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x14ac:dyDescent="0.25">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x14ac:dyDescent="0.25">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x14ac:dyDescent="0.25">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x14ac:dyDescent="0.25">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x14ac:dyDescent="0.25">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x14ac:dyDescent="0.25">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x14ac:dyDescent="0.25">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x14ac:dyDescent="0.25">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x14ac:dyDescent="0.25">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x14ac:dyDescent="0.25">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x14ac:dyDescent="0.25">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x14ac:dyDescent="0.25">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x14ac:dyDescent="0.25">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x14ac:dyDescent="0.25">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x14ac:dyDescent="0.25">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x14ac:dyDescent="0.25">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x14ac:dyDescent="0.25">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x14ac:dyDescent="0.25">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x14ac:dyDescent="0.25">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x14ac:dyDescent="0.25">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x14ac:dyDescent="0.25">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x14ac:dyDescent="0.25">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x14ac:dyDescent="0.25">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x14ac:dyDescent="0.25">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x14ac:dyDescent="0.25">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x14ac:dyDescent="0.25">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x14ac:dyDescent="0.25">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x14ac:dyDescent="0.25">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x14ac:dyDescent="0.25">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x14ac:dyDescent="0.25">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x14ac:dyDescent="0.25">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x14ac:dyDescent="0.25">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x14ac:dyDescent="0.25">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x14ac:dyDescent="0.25">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7" tint="0.59999389629810485"/>
  </sheetPr>
  <dimension ref="B3:J70"/>
  <sheetViews>
    <sheetView showGridLines="0" topLeftCell="A13" zoomScale="85" zoomScaleNormal="85" workbookViewId="0">
      <selection activeCell="Q56" sqref="Q56"/>
    </sheetView>
  </sheetViews>
  <sheetFormatPr defaultRowHeight="15" x14ac:dyDescent="0.25"/>
  <cols>
    <col min="2" max="2" width="11.5703125" customWidth="1"/>
    <col min="3" max="3" width="19.8554687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x14ac:dyDescent="0.25">
      <c r="B3" s="23" t="s">
        <v>90</v>
      </c>
    </row>
    <row r="8" spans="2:2" x14ac:dyDescent="0.25">
      <c r="B8" t="s">
        <v>92</v>
      </c>
    </row>
    <row r="9" spans="2:2" x14ac:dyDescent="0.25">
      <c r="B9" t="s">
        <v>157</v>
      </c>
    </row>
    <row r="10" spans="2:2" s="81" customFormat="1" x14ac:dyDescent="0.25"/>
    <row r="11" spans="2:2" s="81" customFormat="1" x14ac:dyDescent="0.25"/>
    <row r="12" spans="2:2" s="81" customFormat="1" x14ac:dyDescent="0.25"/>
    <row r="13" spans="2:2" s="81" customFormat="1" x14ac:dyDescent="0.25"/>
    <row r="14" spans="2:2" s="81" customFormat="1" x14ac:dyDescent="0.25"/>
    <row r="15" spans="2:2" s="81" customFormat="1" x14ac:dyDescent="0.25"/>
    <row r="16" spans="2:2" s="81" customFormat="1" x14ac:dyDescent="0.25"/>
    <row r="17" spans="2:4" s="81" customFormat="1" x14ac:dyDescent="0.25">
      <c r="B17" s="2" t="s">
        <v>163</v>
      </c>
    </row>
    <row r="18" spans="2:4" s="81" customFormat="1" x14ac:dyDescent="0.25"/>
    <row r="19" spans="2:4" s="81" customFormat="1" x14ac:dyDescent="0.25">
      <c r="B19" s="64" t="s">
        <v>33</v>
      </c>
      <c r="C19" s="64" t="s">
        <v>88</v>
      </c>
      <c r="D19" s="64" t="s">
        <v>89</v>
      </c>
    </row>
    <row r="20" spans="2:4" s="81" customFormat="1" x14ac:dyDescent="0.25">
      <c r="B20" s="61" t="s">
        <v>85</v>
      </c>
      <c r="C20" s="62">
        <v>1</v>
      </c>
      <c r="D20" s="120">
        <v>1</v>
      </c>
    </row>
    <row r="21" spans="2:4" s="81" customFormat="1" x14ac:dyDescent="0.25">
      <c r="B21" s="61" t="s">
        <v>161</v>
      </c>
      <c r="C21" s="62"/>
      <c r="D21" s="88">
        <v>0</v>
      </c>
    </row>
    <row r="22" spans="2:4" s="81" customFormat="1" x14ac:dyDescent="0.25">
      <c r="B22" s="61" t="s">
        <v>86</v>
      </c>
      <c r="C22" s="62">
        <v>1</v>
      </c>
      <c r="D22" s="63">
        <v>1</v>
      </c>
    </row>
    <row r="23" spans="2:4" s="81" customFormat="1" x14ac:dyDescent="0.25">
      <c r="B23"/>
      <c r="C23"/>
      <c r="D23"/>
    </row>
    <row r="24" spans="2:4" s="81" customFormat="1" x14ac:dyDescent="0.25">
      <c r="B24"/>
      <c r="C24"/>
      <c r="D24"/>
    </row>
    <row r="25" spans="2:4" s="81" customFormat="1" x14ac:dyDescent="0.25">
      <c r="B25"/>
      <c r="C25"/>
      <c r="D25"/>
    </row>
    <row r="26" spans="2:4" s="81" customFormat="1" x14ac:dyDescent="0.25">
      <c r="B26"/>
      <c r="C26"/>
      <c r="D26"/>
    </row>
    <row r="27" spans="2:4" s="81" customFormat="1" x14ac:dyDescent="0.25">
      <c r="B27"/>
      <c r="C27"/>
      <c r="D27"/>
    </row>
    <row r="28" spans="2:4" s="81" customFormat="1" x14ac:dyDescent="0.25">
      <c r="B28"/>
      <c r="C28"/>
      <c r="D28"/>
    </row>
    <row r="29" spans="2:4" s="81" customFormat="1" x14ac:dyDescent="0.25">
      <c r="C29"/>
      <c r="D29"/>
    </row>
    <row r="30" spans="2:4" s="81" customFormat="1" x14ac:dyDescent="0.25">
      <c r="B30" s="2" t="s">
        <v>164</v>
      </c>
      <c r="C30"/>
      <c r="D30"/>
    </row>
    <row r="31" spans="2:4" s="81" customFormat="1" x14ac:dyDescent="0.25">
      <c r="B31"/>
      <c r="C31"/>
      <c r="D31"/>
    </row>
    <row r="32" spans="2:4" s="81" customFormat="1" x14ac:dyDescent="0.25">
      <c r="B32" s="19" t="s">
        <v>29</v>
      </c>
      <c r="C32" s="64" t="s">
        <v>216</v>
      </c>
      <c r="D32"/>
    </row>
    <row r="33" spans="2:10" s="81" customFormat="1" x14ac:dyDescent="0.25">
      <c r="B33"/>
      <c r="C33"/>
      <c r="D33"/>
    </row>
    <row r="34" spans="2:10" s="81" customFormat="1" x14ac:dyDescent="0.25">
      <c r="B34" s="64" t="s">
        <v>33</v>
      </c>
      <c r="C34" s="64" t="s">
        <v>162</v>
      </c>
      <c r="D34" s="64" t="s">
        <v>89</v>
      </c>
      <c r="E34"/>
      <c r="F34"/>
      <c r="G34"/>
      <c r="H34"/>
      <c r="I34"/>
      <c r="J34"/>
    </row>
    <row r="35" spans="2:10" s="81" customFormat="1" x14ac:dyDescent="0.25">
      <c r="B35" s="61" t="s">
        <v>85</v>
      </c>
      <c r="C35" s="62">
        <v>2</v>
      </c>
      <c r="D35" s="120">
        <v>1</v>
      </c>
      <c r="E35"/>
      <c r="F35"/>
      <c r="G35"/>
      <c r="H35"/>
      <c r="I35"/>
      <c r="J35"/>
    </row>
    <row r="36" spans="2:10" s="81" customFormat="1" x14ac:dyDescent="0.25">
      <c r="B36" s="61" t="s">
        <v>161</v>
      </c>
      <c r="C36" s="62"/>
      <c r="D36" s="88">
        <v>0</v>
      </c>
      <c r="E36"/>
      <c r="F36"/>
      <c r="G36"/>
      <c r="H36"/>
      <c r="I36"/>
      <c r="J36"/>
    </row>
    <row r="37" spans="2:10" s="81" customFormat="1" x14ac:dyDescent="0.25">
      <c r="B37" s="61" t="s">
        <v>86</v>
      </c>
      <c r="C37" s="62">
        <v>2</v>
      </c>
      <c r="D37" s="63">
        <v>1</v>
      </c>
      <c r="E37"/>
      <c r="F37"/>
      <c r="G37"/>
      <c r="H37"/>
      <c r="I37"/>
      <c r="J37"/>
    </row>
    <row r="38" spans="2:10" s="81" customFormat="1" x14ac:dyDescent="0.25">
      <c r="B38"/>
      <c r="C38"/>
      <c r="D38"/>
      <c r="E38"/>
      <c r="F38"/>
      <c r="G38"/>
      <c r="H38"/>
      <c r="I38"/>
      <c r="J38"/>
    </row>
    <row r="39" spans="2:10" s="81" customFormat="1" x14ac:dyDescent="0.25">
      <c r="B39"/>
      <c r="C39"/>
      <c r="D39"/>
      <c r="E39"/>
      <c r="F39"/>
      <c r="G39"/>
      <c r="H39"/>
      <c r="I39"/>
      <c r="J39"/>
    </row>
    <row r="40" spans="2:10" s="81" customFormat="1" x14ac:dyDescent="0.25">
      <c r="B40"/>
      <c r="C40"/>
      <c r="D40"/>
      <c r="E40"/>
      <c r="F40"/>
      <c r="G40"/>
      <c r="H40"/>
      <c r="I40"/>
      <c r="J40"/>
    </row>
    <row r="41" spans="2:10" s="81" customFormat="1" x14ac:dyDescent="0.25"/>
    <row r="42" spans="2:10" s="81" customFormat="1" x14ac:dyDescent="0.25"/>
    <row r="43" spans="2:10" s="81" customFormat="1" x14ac:dyDescent="0.25"/>
    <row r="44" spans="2:10" s="81" customFormat="1" x14ac:dyDescent="0.25">
      <c r="B44" s="2" t="s">
        <v>165</v>
      </c>
    </row>
    <row r="45" spans="2:10" s="81" customFormat="1" x14ac:dyDescent="0.25"/>
    <row r="46" spans="2:10" s="81" customFormat="1" x14ac:dyDescent="0.25">
      <c r="B46" s="19" t="s">
        <v>29</v>
      </c>
      <c r="C46" s="19" t="s">
        <v>87</v>
      </c>
    </row>
    <row r="47" spans="2:10" s="81" customFormat="1" x14ac:dyDescent="0.25"/>
    <row r="48" spans="2:10" s="81" customFormat="1" x14ac:dyDescent="0.25">
      <c r="B48" s="64" t="s">
        <v>33</v>
      </c>
      <c r="C48" s="64" t="s">
        <v>162</v>
      </c>
      <c r="D48" s="64" t="s">
        <v>89</v>
      </c>
    </row>
    <row r="49" spans="2:4" s="81" customFormat="1" x14ac:dyDescent="0.25">
      <c r="B49" s="61" t="s">
        <v>85</v>
      </c>
      <c r="C49" s="62">
        <v>2</v>
      </c>
      <c r="D49" s="120">
        <v>1</v>
      </c>
    </row>
    <row r="50" spans="2:4" s="81" customFormat="1" x14ac:dyDescent="0.25">
      <c r="B50" s="61" t="s">
        <v>86</v>
      </c>
      <c r="C50" s="62">
        <v>2</v>
      </c>
      <c r="D50" s="63">
        <v>1</v>
      </c>
    </row>
    <row r="51" spans="2:4" s="81" customFormat="1" x14ac:dyDescent="0.25">
      <c r="B51"/>
      <c r="C51"/>
      <c r="D51"/>
    </row>
    <row r="52" spans="2:4" s="81" customFormat="1" x14ac:dyDescent="0.25">
      <c r="B52"/>
      <c r="C52"/>
      <c r="D52"/>
    </row>
    <row r="53" spans="2:4" s="81" customFormat="1" x14ac:dyDescent="0.25">
      <c r="B53"/>
      <c r="C53"/>
      <c r="D53"/>
    </row>
    <row r="54" spans="2:4" s="81" customFormat="1" x14ac:dyDescent="0.25"/>
    <row r="55" spans="2:4" s="81" customFormat="1" x14ac:dyDescent="0.25"/>
    <row r="56" spans="2:4" x14ac:dyDescent="0.25">
      <c r="B56" s="70"/>
      <c r="C56" s="70"/>
      <c r="D56" s="70"/>
    </row>
    <row r="57" spans="2:4" s="70" customFormat="1" x14ac:dyDescent="0.25"/>
    <row r="58" spans="2:4" s="70" customFormat="1" x14ac:dyDescent="0.25">
      <c r="B58"/>
      <c r="C58"/>
      <c r="D58"/>
    </row>
    <row r="59" spans="2:4" s="70" customFormat="1" x14ac:dyDescent="0.25">
      <c r="B59"/>
      <c r="C59"/>
      <c r="D59"/>
    </row>
    <row r="61" spans="2:4" x14ac:dyDescent="0.25">
      <c r="B61" s="2" t="s">
        <v>171</v>
      </c>
    </row>
    <row r="62" spans="2:4" s="116" customFormat="1" x14ac:dyDescent="0.25">
      <c r="B62" s="2"/>
    </row>
    <row r="63" spans="2:4" s="116" customFormat="1" x14ac:dyDescent="0.25">
      <c r="B63" s="2"/>
    </row>
    <row r="64" spans="2:4" s="116" customFormat="1" x14ac:dyDescent="0.25">
      <c r="B64"/>
      <c r="C64"/>
    </row>
    <row r="66" spans="2:3" x14ac:dyDescent="0.25">
      <c r="B66" s="64" t="s">
        <v>94</v>
      </c>
      <c r="C66" s="64" t="s">
        <v>146</v>
      </c>
    </row>
    <row r="67" spans="2:3" x14ac:dyDescent="0.25">
      <c r="B67" s="61" t="s">
        <v>139</v>
      </c>
      <c r="C67" s="118">
        <v>1</v>
      </c>
    </row>
    <row r="68" spans="2:3" x14ac:dyDescent="0.25">
      <c r="B68" s="61" t="s">
        <v>217</v>
      </c>
      <c r="C68" s="117">
        <v>1</v>
      </c>
    </row>
    <row r="69" spans="2:3" x14ac:dyDescent="0.25">
      <c r="B69" s="61" t="s">
        <v>143</v>
      </c>
      <c r="C69" s="119">
        <v>1</v>
      </c>
    </row>
    <row r="70" spans="2:3" x14ac:dyDescent="0.25">
      <c r="B70" s="61" t="s">
        <v>86</v>
      </c>
      <c r="C70" s="62">
        <v>3</v>
      </c>
    </row>
  </sheetData>
  <pageMargins left="0.7" right="0.7" top="0.75" bottom="0.75" header="0.3" footer="0.3"/>
  <pageSetup paperSize="9" orientation="portrait" r:id="rId5"/>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7" tint="0.59999389629810485"/>
    <pageSetUpPr fitToPage="1"/>
  </sheetPr>
  <dimension ref="B4:D232"/>
  <sheetViews>
    <sheetView showGridLines="0" tabSelected="1" zoomScale="85" zoomScaleNormal="85" workbookViewId="0">
      <selection activeCell="C67" sqref="C67"/>
    </sheetView>
  </sheetViews>
  <sheetFormatPr defaultRowHeight="15" x14ac:dyDescent="0.25"/>
  <cols>
    <col min="1" max="1" width="23.42578125" style="134" customWidth="1"/>
    <col min="2" max="2" width="12.140625" style="134" customWidth="1"/>
    <col min="3" max="3" width="116.85546875" style="12" customWidth="1"/>
    <col min="4" max="16384" width="9.140625" style="134"/>
  </cols>
  <sheetData>
    <row r="4" spans="2:4" x14ac:dyDescent="0.25">
      <c r="B4" s="45"/>
      <c r="C4" s="47"/>
      <c r="D4" s="41"/>
    </row>
    <row r="5" spans="2:4" ht="18" x14ac:dyDescent="0.25">
      <c r="B5" s="44"/>
      <c r="C5" s="54" t="s">
        <v>73</v>
      </c>
      <c r="D5" s="42"/>
    </row>
    <row r="6" spans="2:4" x14ac:dyDescent="0.25">
      <c r="B6" s="44"/>
      <c r="C6" s="48"/>
      <c r="D6" s="42"/>
    </row>
    <row r="7" spans="2:4" x14ac:dyDescent="0.25">
      <c r="B7" s="44"/>
      <c r="C7" s="48"/>
      <c r="D7" s="42"/>
    </row>
    <row r="8" spans="2:4" x14ac:dyDescent="0.25">
      <c r="B8" s="44"/>
      <c r="C8" s="48"/>
      <c r="D8" s="42"/>
    </row>
    <row r="9" spans="2:4" x14ac:dyDescent="0.25">
      <c r="B9" s="44"/>
      <c r="C9" s="48"/>
      <c r="D9" s="42"/>
    </row>
    <row r="10" spans="2:4" x14ac:dyDescent="0.25">
      <c r="B10" s="44"/>
      <c r="C10" s="49" t="s">
        <v>74</v>
      </c>
      <c r="D10" s="42"/>
    </row>
    <row r="11" spans="2:4" x14ac:dyDescent="0.25">
      <c r="B11" s="44"/>
      <c r="C11" s="50" t="s">
        <v>203</v>
      </c>
      <c r="D11" s="42"/>
    </row>
    <row r="12" spans="2:4" x14ac:dyDescent="0.25">
      <c r="B12" s="44"/>
      <c r="C12" s="51" t="s">
        <v>72</v>
      </c>
      <c r="D12" s="42"/>
    </row>
    <row r="13" spans="2:4" x14ac:dyDescent="0.25">
      <c r="B13" s="44"/>
      <c r="C13" s="51" t="s">
        <v>38</v>
      </c>
      <c r="D13" s="42"/>
    </row>
    <row r="14" spans="2:4" x14ac:dyDescent="0.25">
      <c r="B14" s="44"/>
      <c r="C14" s="51" t="s">
        <v>43</v>
      </c>
      <c r="D14" s="42"/>
    </row>
    <row r="15" spans="2:4" x14ac:dyDescent="0.25">
      <c r="B15" s="44"/>
      <c r="C15" s="51" t="s">
        <v>245</v>
      </c>
      <c r="D15" s="42"/>
    </row>
    <row r="16" spans="2:4" x14ac:dyDescent="0.25">
      <c r="B16" s="44"/>
      <c r="C16" s="51" t="s">
        <v>44</v>
      </c>
      <c r="D16" s="42"/>
    </row>
    <row r="17" spans="2:4" x14ac:dyDescent="0.25">
      <c r="B17" s="44"/>
      <c r="C17" s="51" t="s">
        <v>51</v>
      </c>
      <c r="D17" s="42"/>
    </row>
    <row r="18" spans="2:4" s="170" customFormat="1" x14ac:dyDescent="0.25">
      <c r="B18" s="44"/>
      <c r="C18" s="50" t="s">
        <v>204</v>
      </c>
      <c r="D18" s="42"/>
    </row>
    <row r="19" spans="2:4" s="170" customFormat="1" x14ac:dyDescent="0.25">
      <c r="B19" s="44"/>
      <c r="C19" s="51" t="s">
        <v>72</v>
      </c>
      <c r="D19" s="42"/>
    </row>
    <row r="20" spans="2:4" s="170" customFormat="1" x14ac:dyDescent="0.25">
      <c r="B20" s="44"/>
      <c r="C20" s="51" t="s">
        <v>38</v>
      </c>
      <c r="D20" s="42"/>
    </row>
    <row r="21" spans="2:4" s="170" customFormat="1" x14ac:dyDescent="0.25">
      <c r="B21" s="44"/>
      <c r="C21" s="51" t="s">
        <v>43</v>
      </c>
      <c r="D21" s="42"/>
    </row>
    <row r="22" spans="2:4" s="170" customFormat="1" x14ac:dyDescent="0.25">
      <c r="B22" s="44"/>
      <c r="C22" s="51" t="s">
        <v>241</v>
      </c>
      <c r="D22" s="42"/>
    </row>
    <row r="23" spans="2:4" s="170" customFormat="1" x14ac:dyDescent="0.25">
      <c r="B23" s="44"/>
      <c r="C23" s="51" t="s">
        <v>44</v>
      </c>
      <c r="D23" s="42"/>
    </row>
    <row r="24" spans="2:4" s="170" customFormat="1" x14ac:dyDescent="0.25">
      <c r="B24" s="44"/>
      <c r="C24" s="51" t="s">
        <v>54</v>
      </c>
      <c r="D24" s="42"/>
    </row>
    <row r="25" spans="2:4" s="170" customFormat="1" x14ac:dyDescent="0.25">
      <c r="B25" s="44"/>
      <c r="C25" s="51" t="s">
        <v>51</v>
      </c>
      <c r="D25" s="42"/>
    </row>
    <row r="26" spans="2:4" x14ac:dyDescent="0.25">
      <c r="B26" s="44"/>
      <c r="C26" s="50" t="s">
        <v>55</v>
      </c>
      <c r="D26" s="42"/>
    </row>
    <row r="27" spans="2:4" x14ac:dyDescent="0.25">
      <c r="B27" s="44"/>
      <c r="C27" s="51" t="s">
        <v>72</v>
      </c>
      <c r="D27" s="42"/>
    </row>
    <row r="28" spans="2:4" x14ac:dyDescent="0.25">
      <c r="B28" s="44"/>
      <c r="C28" s="51" t="s">
        <v>58</v>
      </c>
      <c r="D28" s="42"/>
    </row>
    <row r="29" spans="2:4" x14ac:dyDescent="0.25">
      <c r="B29" s="44"/>
      <c r="C29" s="51" t="s">
        <v>71</v>
      </c>
      <c r="D29" s="42"/>
    </row>
    <row r="30" spans="2:4" x14ac:dyDescent="0.25">
      <c r="B30" s="44"/>
      <c r="C30" s="50" t="s">
        <v>67</v>
      </c>
      <c r="D30" s="42"/>
    </row>
    <row r="31" spans="2:4" x14ac:dyDescent="0.25">
      <c r="B31" s="44"/>
      <c r="C31" s="51" t="s">
        <v>72</v>
      </c>
      <c r="D31" s="42"/>
    </row>
    <row r="32" spans="2:4" x14ac:dyDescent="0.25">
      <c r="B32" s="44"/>
      <c r="C32" s="51" t="s">
        <v>69</v>
      </c>
      <c r="D32" s="42"/>
    </row>
    <row r="33" spans="2:4" x14ac:dyDescent="0.25">
      <c r="B33" s="44"/>
      <c r="C33" s="50" t="s">
        <v>158</v>
      </c>
      <c r="D33" s="42"/>
    </row>
    <row r="34" spans="2:4" x14ac:dyDescent="0.25">
      <c r="B34" s="44"/>
      <c r="C34" s="51" t="s">
        <v>72</v>
      </c>
      <c r="D34" s="42"/>
    </row>
    <row r="35" spans="2:4" x14ac:dyDescent="0.25">
      <c r="B35" s="44"/>
      <c r="C35" s="51" t="s">
        <v>151</v>
      </c>
      <c r="D35" s="42"/>
    </row>
    <row r="36" spans="2:4" x14ac:dyDescent="0.25">
      <c r="B36" s="44"/>
      <c r="C36" s="51" t="s">
        <v>159</v>
      </c>
      <c r="D36" s="42"/>
    </row>
    <row r="37" spans="2:4" x14ac:dyDescent="0.25">
      <c r="B37" s="44"/>
      <c r="C37" s="50" t="s">
        <v>251</v>
      </c>
      <c r="D37" s="42"/>
    </row>
    <row r="38" spans="2:4" x14ac:dyDescent="0.25">
      <c r="B38" s="44"/>
      <c r="C38" s="51" t="s">
        <v>72</v>
      </c>
      <c r="D38" s="42"/>
    </row>
    <row r="39" spans="2:4" x14ac:dyDescent="0.25">
      <c r="B39" s="44"/>
      <c r="C39" s="51" t="s">
        <v>252</v>
      </c>
      <c r="D39" s="42"/>
    </row>
    <row r="40" spans="2:4" x14ac:dyDescent="0.25">
      <c r="B40" s="44"/>
      <c r="C40" s="51"/>
      <c r="D40" s="42"/>
    </row>
    <row r="41" spans="2:4" x14ac:dyDescent="0.25">
      <c r="B41" s="44"/>
      <c r="C41" s="48"/>
      <c r="D41" s="42"/>
    </row>
    <row r="42" spans="2:4" x14ac:dyDescent="0.25">
      <c r="B42" s="44"/>
      <c r="C42" s="49" t="s">
        <v>203</v>
      </c>
      <c r="D42" s="42"/>
    </row>
    <row r="43" spans="2:4" x14ac:dyDescent="0.25">
      <c r="B43" s="44"/>
      <c r="C43" s="51" t="s">
        <v>72</v>
      </c>
      <c r="D43" s="42"/>
    </row>
    <row r="44" spans="2:4" x14ac:dyDescent="0.25">
      <c r="B44" s="44"/>
      <c r="C44" s="52" t="s">
        <v>298</v>
      </c>
      <c r="D44" s="42"/>
    </row>
    <row r="45" spans="2:4" x14ac:dyDescent="0.25">
      <c r="B45" s="44"/>
      <c r="C45" s="48" t="s">
        <v>41</v>
      </c>
      <c r="D45" s="42"/>
    </row>
    <row r="46" spans="2:4" x14ac:dyDescent="0.25">
      <c r="B46" s="44"/>
      <c r="C46" s="48" t="s">
        <v>42</v>
      </c>
      <c r="D46" s="42"/>
    </row>
    <row r="47" spans="2:4" ht="30" x14ac:dyDescent="0.25">
      <c r="B47" s="44"/>
      <c r="C47" s="48" t="s">
        <v>240</v>
      </c>
      <c r="D47" s="42"/>
    </row>
    <row r="48" spans="2:4" x14ac:dyDescent="0.25">
      <c r="B48" s="44"/>
      <c r="C48" s="48"/>
      <c r="D48" s="42"/>
    </row>
    <row r="49" spans="2:4" x14ac:dyDescent="0.25">
      <c r="B49" s="44"/>
      <c r="C49" s="51" t="s">
        <v>38</v>
      </c>
      <c r="D49" s="42"/>
    </row>
    <row r="50" spans="2:4" ht="30" x14ac:dyDescent="0.25">
      <c r="B50" s="44"/>
      <c r="C50" s="48" t="s">
        <v>39</v>
      </c>
      <c r="D50" s="42"/>
    </row>
    <row r="51" spans="2:4" x14ac:dyDescent="0.25">
      <c r="B51" s="44"/>
      <c r="C51" s="48" t="s">
        <v>40</v>
      </c>
      <c r="D51" s="42"/>
    </row>
    <row r="52" spans="2:4" ht="30" x14ac:dyDescent="0.25">
      <c r="B52" s="44"/>
      <c r="C52" s="48" t="s">
        <v>134</v>
      </c>
      <c r="D52" s="42"/>
    </row>
    <row r="53" spans="2:4" ht="45" x14ac:dyDescent="0.25">
      <c r="B53" s="44"/>
      <c r="C53" s="48" t="s">
        <v>133</v>
      </c>
      <c r="D53" s="42"/>
    </row>
    <row r="54" spans="2:4" ht="45" x14ac:dyDescent="0.25">
      <c r="B54" s="44"/>
      <c r="C54" s="48" t="s">
        <v>131</v>
      </c>
      <c r="D54" s="42"/>
    </row>
    <row r="55" spans="2:4" ht="45" x14ac:dyDescent="0.25">
      <c r="B55" s="44"/>
      <c r="C55" s="48" t="s">
        <v>132</v>
      </c>
      <c r="D55" s="42"/>
    </row>
    <row r="56" spans="2:4" s="169" customFormat="1" x14ac:dyDescent="0.25">
      <c r="B56" s="44"/>
      <c r="C56" s="48"/>
      <c r="D56" s="42"/>
    </row>
    <row r="57" spans="2:4" s="169" customFormat="1" x14ac:dyDescent="0.25">
      <c r="B57" s="44"/>
      <c r="C57" s="48" t="s">
        <v>285</v>
      </c>
      <c r="D57" s="42"/>
    </row>
    <row r="58" spans="2:4" s="169" customFormat="1" x14ac:dyDescent="0.25">
      <c r="B58" s="44"/>
      <c r="C58" s="48" t="s">
        <v>286</v>
      </c>
      <c r="D58" s="42"/>
    </row>
    <row r="59" spans="2:4" x14ac:dyDescent="0.25">
      <c r="B59" s="44"/>
      <c r="C59" s="48"/>
      <c r="D59" s="42"/>
    </row>
    <row r="60" spans="2:4" x14ac:dyDescent="0.25">
      <c r="B60" s="44"/>
      <c r="C60" s="51" t="s">
        <v>79</v>
      </c>
      <c r="D60" s="42"/>
    </row>
    <row r="61" spans="2:4" x14ac:dyDescent="0.25">
      <c r="B61" s="44"/>
      <c r="C61" s="48" t="s">
        <v>52</v>
      </c>
      <c r="D61" s="42"/>
    </row>
    <row r="62" spans="2:4" x14ac:dyDescent="0.25">
      <c r="B62" s="44"/>
      <c r="C62" s="48"/>
      <c r="D62" s="42"/>
    </row>
    <row r="63" spans="2:4" x14ac:dyDescent="0.25">
      <c r="B63" s="44"/>
      <c r="C63" s="51" t="s">
        <v>245</v>
      </c>
      <c r="D63" s="42"/>
    </row>
    <row r="64" spans="2:4" ht="30" x14ac:dyDescent="0.25">
      <c r="B64" s="44"/>
      <c r="C64" s="52" t="s">
        <v>299</v>
      </c>
      <c r="D64" s="42"/>
    </row>
    <row r="65" spans="2:4" x14ac:dyDescent="0.25">
      <c r="B65" s="44"/>
      <c r="C65" s="48" t="s">
        <v>287</v>
      </c>
      <c r="D65" s="42"/>
    </row>
    <row r="66" spans="2:4" s="169" customFormat="1" ht="30" x14ac:dyDescent="0.25">
      <c r="B66" s="44"/>
      <c r="C66" s="48" t="s">
        <v>288</v>
      </c>
      <c r="D66" s="42"/>
    </row>
    <row r="67" spans="2:4" s="169" customFormat="1" x14ac:dyDescent="0.25">
      <c r="B67" s="44"/>
      <c r="C67" s="48"/>
      <c r="D67" s="42"/>
    </row>
    <row r="68" spans="2:4" ht="30" x14ac:dyDescent="0.25">
      <c r="B68" s="44"/>
      <c r="C68" s="48" t="s">
        <v>290</v>
      </c>
      <c r="D68" s="42"/>
    </row>
    <row r="69" spans="2:4" s="169" customFormat="1" ht="30" x14ac:dyDescent="0.25">
      <c r="B69" s="44"/>
      <c r="C69" s="48" t="s">
        <v>291</v>
      </c>
      <c r="D69" s="42"/>
    </row>
    <row r="70" spans="2:4" s="169" customFormat="1" ht="30" x14ac:dyDescent="0.25">
      <c r="B70" s="44"/>
      <c r="C70" s="48" t="s">
        <v>289</v>
      </c>
      <c r="D70" s="42"/>
    </row>
    <row r="71" spans="2:4" s="169" customFormat="1" ht="30" x14ac:dyDescent="0.25">
      <c r="B71" s="44"/>
      <c r="C71" s="48" t="s">
        <v>293</v>
      </c>
      <c r="D71" s="42"/>
    </row>
    <row r="72" spans="2:4" s="169" customFormat="1" x14ac:dyDescent="0.25">
      <c r="B72" s="44"/>
      <c r="C72" s="48"/>
      <c r="D72" s="42"/>
    </row>
    <row r="73" spans="2:4" ht="30" x14ac:dyDescent="0.25">
      <c r="B73" s="44"/>
      <c r="C73" s="48" t="s">
        <v>47</v>
      </c>
      <c r="D73" s="42"/>
    </row>
    <row r="74" spans="2:4" ht="45" x14ac:dyDescent="0.25">
      <c r="B74" s="44"/>
      <c r="C74" s="48" t="s">
        <v>246</v>
      </c>
      <c r="D74" s="42"/>
    </row>
    <row r="75" spans="2:4" ht="90" x14ac:dyDescent="0.25">
      <c r="B75" s="44"/>
      <c r="C75" s="48" t="s">
        <v>247</v>
      </c>
      <c r="D75" s="42"/>
    </row>
    <row r="76" spans="2:4" ht="30" x14ac:dyDescent="0.25">
      <c r="B76" s="44"/>
      <c r="C76" s="48" t="s">
        <v>48</v>
      </c>
      <c r="D76" s="42"/>
    </row>
    <row r="77" spans="2:4" ht="30" x14ac:dyDescent="0.25">
      <c r="B77" s="44"/>
      <c r="C77" s="48" t="s">
        <v>294</v>
      </c>
      <c r="D77" s="42"/>
    </row>
    <row r="78" spans="2:4" x14ac:dyDescent="0.25">
      <c r="B78" s="44"/>
      <c r="C78" s="48" t="s">
        <v>46</v>
      </c>
      <c r="D78" s="42"/>
    </row>
    <row r="79" spans="2:4" s="169" customFormat="1" x14ac:dyDescent="0.25">
      <c r="B79" s="44"/>
      <c r="C79" s="48"/>
      <c r="D79" s="42"/>
    </row>
    <row r="80" spans="2:4" ht="30" x14ac:dyDescent="0.25">
      <c r="B80" s="44"/>
      <c r="C80" s="48" t="s">
        <v>292</v>
      </c>
      <c r="D80" s="42"/>
    </row>
    <row r="81" spans="2:4" s="169" customFormat="1" x14ac:dyDescent="0.25">
      <c r="B81" s="44"/>
      <c r="C81" s="48"/>
      <c r="D81" s="42"/>
    </row>
    <row r="82" spans="2:4" ht="63.75" customHeight="1" x14ac:dyDescent="0.25">
      <c r="B82" s="44"/>
      <c r="C82" s="48" t="s">
        <v>295</v>
      </c>
      <c r="D82" s="42"/>
    </row>
    <row r="83" spans="2:4" x14ac:dyDescent="0.25">
      <c r="B83" s="44"/>
      <c r="C83" s="48"/>
      <c r="D83" s="42"/>
    </row>
    <row r="84" spans="2:4" x14ac:dyDescent="0.25">
      <c r="B84" s="44"/>
      <c r="C84" s="51" t="s">
        <v>44</v>
      </c>
      <c r="D84" s="42"/>
    </row>
    <row r="85" spans="2:4" ht="30" x14ac:dyDescent="0.25">
      <c r="B85" s="44"/>
      <c r="C85" s="52" t="s">
        <v>45</v>
      </c>
      <c r="D85" s="42"/>
    </row>
    <row r="86" spans="2:4" x14ac:dyDescent="0.25">
      <c r="B86" s="44"/>
      <c r="C86" s="52" t="s">
        <v>49</v>
      </c>
      <c r="D86" s="42"/>
    </row>
    <row r="87" spans="2:4" s="169" customFormat="1" ht="30" x14ac:dyDescent="0.25">
      <c r="B87" s="44"/>
      <c r="C87" s="48" t="s">
        <v>288</v>
      </c>
      <c r="D87" s="42"/>
    </row>
    <row r="88" spans="2:4" s="169" customFormat="1" x14ac:dyDescent="0.25">
      <c r="B88" s="44"/>
      <c r="C88" s="52"/>
      <c r="D88" s="42"/>
    </row>
    <row r="89" spans="2:4" x14ac:dyDescent="0.25">
      <c r="B89" s="44"/>
      <c r="C89" s="51" t="s">
        <v>78</v>
      </c>
      <c r="D89" s="42"/>
    </row>
    <row r="90" spans="2:4" ht="30" x14ac:dyDescent="0.25">
      <c r="B90" s="44"/>
      <c r="C90" s="48" t="s">
        <v>53</v>
      </c>
      <c r="D90" s="42"/>
    </row>
    <row r="91" spans="2:4" x14ac:dyDescent="0.25">
      <c r="B91" s="44"/>
      <c r="C91" s="48" t="s">
        <v>296</v>
      </c>
      <c r="D91" s="42"/>
    </row>
    <row r="92" spans="2:4" s="169" customFormat="1" x14ac:dyDescent="0.25">
      <c r="B92" s="44"/>
      <c r="C92" s="48"/>
      <c r="D92" s="42"/>
    </row>
    <row r="93" spans="2:4" s="169" customFormat="1" x14ac:dyDescent="0.25">
      <c r="B93" s="44"/>
      <c r="C93" s="48"/>
      <c r="D93" s="42"/>
    </row>
    <row r="94" spans="2:4" s="169" customFormat="1" x14ac:dyDescent="0.25">
      <c r="B94" s="44"/>
      <c r="C94" s="49" t="s">
        <v>204</v>
      </c>
      <c r="D94" s="42"/>
    </row>
    <row r="95" spans="2:4" s="169" customFormat="1" x14ac:dyDescent="0.25">
      <c r="B95" s="44"/>
      <c r="C95" s="51" t="s">
        <v>72</v>
      </c>
      <c r="D95" s="42"/>
    </row>
    <row r="96" spans="2:4" s="169" customFormat="1" x14ac:dyDescent="0.25">
      <c r="B96" s="44"/>
      <c r="C96" s="52" t="s">
        <v>297</v>
      </c>
      <c r="D96" s="42"/>
    </row>
    <row r="97" spans="2:4" s="169" customFormat="1" x14ac:dyDescent="0.25">
      <c r="B97" s="44"/>
      <c r="C97" s="48" t="s">
        <v>41</v>
      </c>
      <c r="D97" s="42"/>
    </row>
    <row r="98" spans="2:4" s="169" customFormat="1" x14ac:dyDescent="0.25">
      <c r="B98" s="44"/>
      <c r="C98" s="48" t="s">
        <v>42</v>
      </c>
      <c r="D98" s="42"/>
    </row>
    <row r="99" spans="2:4" s="169" customFormat="1" ht="30" x14ac:dyDescent="0.25">
      <c r="B99" s="44"/>
      <c r="C99" s="48" t="s">
        <v>205</v>
      </c>
      <c r="D99" s="42"/>
    </row>
    <row r="100" spans="2:4" s="169" customFormat="1" x14ac:dyDescent="0.25">
      <c r="B100" s="44"/>
      <c r="C100" s="48"/>
      <c r="D100" s="42"/>
    </row>
    <row r="101" spans="2:4" s="169" customFormat="1" x14ac:dyDescent="0.25">
      <c r="B101" s="44"/>
      <c r="C101" s="51" t="s">
        <v>38</v>
      </c>
      <c r="D101" s="42"/>
    </row>
    <row r="102" spans="2:4" s="169" customFormat="1" ht="30" x14ac:dyDescent="0.25">
      <c r="B102" s="44"/>
      <c r="C102" s="48" t="s">
        <v>39</v>
      </c>
      <c r="D102" s="42"/>
    </row>
    <row r="103" spans="2:4" s="169" customFormat="1" x14ac:dyDescent="0.25">
      <c r="B103" s="44"/>
      <c r="C103" s="48" t="s">
        <v>40</v>
      </c>
      <c r="D103" s="42"/>
    </row>
    <row r="104" spans="2:4" s="169" customFormat="1" ht="30" x14ac:dyDescent="0.25">
      <c r="B104" s="44"/>
      <c r="C104" s="48" t="s">
        <v>134</v>
      </c>
      <c r="D104" s="42"/>
    </row>
    <row r="105" spans="2:4" s="169" customFormat="1" ht="45" x14ac:dyDescent="0.25">
      <c r="B105" s="44"/>
      <c r="C105" s="48" t="s">
        <v>133</v>
      </c>
      <c r="D105" s="42"/>
    </row>
    <row r="106" spans="2:4" s="169" customFormat="1" ht="45" x14ac:dyDescent="0.25">
      <c r="B106" s="44"/>
      <c r="C106" s="48" t="s">
        <v>131</v>
      </c>
      <c r="D106" s="42"/>
    </row>
    <row r="107" spans="2:4" s="169" customFormat="1" ht="45" x14ac:dyDescent="0.25">
      <c r="B107" s="44"/>
      <c r="C107" s="48" t="s">
        <v>132</v>
      </c>
      <c r="D107" s="42"/>
    </row>
    <row r="108" spans="2:4" s="169" customFormat="1" x14ac:dyDescent="0.25">
      <c r="B108" s="44"/>
      <c r="C108" s="48"/>
      <c r="D108" s="42"/>
    </row>
    <row r="109" spans="2:4" s="169" customFormat="1" x14ac:dyDescent="0.25">
      <c r="B109" s="44"/>
      <c r="C109" s="48" t="s">
        <v>285</v>
      </c>
      <c r="D109" s="42"/>
    </row>
    <row r="110" spans="2:4" s="169" customFormat="1" x14ac:dyDescent="0.25">
      <c r="B110" s="44"/>
      <c r="C110" s="48" t="s">
        <v>286</v>
      </c>
      <c r="D110" s="42"/>
    </row>
    <row r="111" spans="2:4" s="169" customFormat="1" x14ac:dyDescent="0.25">
      <c r="B111" s="44"/>
      <c r="C111" s="48"/>
      <c r="D111" s="42"/>
    </row>
    <row r="112" spans="2:4" s="169" customFormat="1" x14ac:dyDescent="0.25">
      <c r="B112" s="44"/>
      <c r="C112" s="51" t="s">
        <v>79</v>
      </c>
      <c r="D112" s="42"/>
    </row>
    <row r="113" spans="2:4" s="169" customFormat="1" x14ac:dyDescent="0.25">
      <c r="B113" s="44"/>
      <c r="C113" s="48" t="s">
        <v>52</v>
      </c>
      <c r="D113" s="42"/>
    </row>
    <row r="114" spans="2:4" s="169" customFormat="1" x14ac:dyDescent="0.25">
      <c r="B114" s="44"/>
      <c r="C114" s="48"/>
      <c r="D114" s="42"/>
    </row>
    <row r="115" spans="2:4" s="169" customFormat="1" x14ac:dyDescent="0.25">
      <c r="B115" s="44"/>
      <c r="C115" s="51" t="s">
        <v>241</v>
      </c>
      <c r="D115" s="42"/>
    </row>
    <row r="116" spans="2:4" s="169" customFormat="1" x14ac:dyDescent="0.25">
      <c r="B116" s="44"/>
      <c r="C116" s="52" t="s">
        <v>248</v>
      </c>
      <c r="D116" s="42"/>
    </row>
    <row r="117" spans="2:4" s="169" customFormat="1" x14ac:dyDescent="0.25">
      <c r="B117" s="44"/>
      <c r="C117" s="52" t="s">
        <v>249</v>
      </c>
      <c r="D117" s="42"/>
    </row>
    <row r="118" spans="2:4" s="169" customFormat="1" x14ac:dyDescent="0.25">
      <c r="B118" s="44"/>
      <c r="C118" s="48" t="s">
        <v>50</v>
      </c>
      <c r="D118" s="42"/>
    </row>
    <row r="119" spans="2:4" s="169" customFormat="1" ht="30" x14ac:dyDescent="0.25">
      <c r="B119" s="44"/>
      <c r="C119" s="48" t="s">
        <v>206</v>
      </c>
      <c r="D119" s="42"/>
    </row>
    <row r="120" spans="2:4" s="169" customFormat="1" ht="30" x14ac:dyDescent="0.25">
      <c r="B120" s="44"/>
      <c r="C120" s="48" t="s">
        <v>242</v>
      </c>
      <c r="D120" s="42"/>
    </row>
    <row r="121" spans="2:4" s="169" customFormat="1" ht="45" x14ac:dyDescent="0.25">
      <c r="B121" s="44"/>
      <c r="C121" s="48" t="s">
        <v>243</v>
      </c>
      <c r="D121" s="42"/>
    </row>
    <row r="122" spans="2:4" s="169" customFormat="1" ht="75" x14ac:dyDescent="0.25">
      <c r="B122" s="44"/>
      <c r="C122" s="48" t="s">
        <v>244</v>
      </c>
      <c r="D122" s="42"/>
    </row>
    <row r="123" spans="2:4" s="169" customFormat="1" x14ac:dyDescent="0.25">
      <c r="B123" s="44"/>
      <c r="C123" s="48" t="s">
        <v>285</v>
      </c>
      <c r="D123" s="42"/>
    </row>
    <row r="124" spans="2:4" s="169" customFormat="1" x14ac:dyDescent="0.25">
      <c r="B124" s="44"/>
      <c r="C124" s="48" t="s">
        <v>286</v>
      </c>
      <c r="D124" s="42"/>
    </row>
    <row r="125" spans="2:4" s="169" customFormat="1" x14ac:dyDescent="0.25">
      <c r="B125" s="44"/>
      <c r="C125" s="48"/>
      <c r="D125" s="42"/>
    </row>
    <row r="126" spans="2:4" s="169" customFormat="1" x14ac:dyDescent="0.25">
      <c r="B126" s="44"/>
      <c r="C126" s="51" t="s">
        <v>300</v>
      </c>
      <c r="D126" s="42"/>
    </row>
    <row r="127" spans="2:4" s="169" customFormat="1" ht="30" x14ac:dyDescent="0.25">
      <c r="B127" s="44"/>
      <c r="C127" s="48" t="s">
        <v>301</v>
      </c>
      <c r="D127" s="42"/>
    </row>
    <row r="128" spans="2:4" s="169" customFormat="1" ht="30" x14ac:dyDescent="0.25">
      <c r="B128" s="44"/>
      <c r="C128" s="48" t="s">
        <v>302</v>
      </c>
      <c r="D128" s="42"/>
    </row>
    <row r="129" spans="2:4" s="169" customFormat="1" x14ac:dyDescent="0.25">
      <c r="B129" s="44"/>
      <c r="C129" s="48" t="s">
        <v>303</v>
      </c>
      <c r="D129" s="42"/>
    </row>
    <row r="130" spans="2:4" s="169" customFormat="1" x14ac:dyDescent="0.25">
      <c r="B130" s="44"/>
      <c r="C130" s="169" t="s">
        <v>305</v>
      </c>
      <c r="D130" s="42"/>
    </row>
    <row r="131" spans="2:4" s="169" customFormat="1" x14ac:dyDescent="0.25">
      <c r="B131" s="44"/>
      <c r="C131" s="169" t="s">
        <v>306</v>
      </c>
      <c r="D131" s="42"/>
    </row>
    <row r="132" spans="2:4" s="169" customFormat="1" x14ac:dyDescent="0.25">
      <c r="B132" s="44"/>
      <c r="C132" s="169" t="s">
        <v>304</v>
      </c>
      <c r="D132" s="42"/>
    </row>
    <row r="133" spans="2:4" s="169" customFormat="1" x14ac:dyDescent="0.25">
      <c r="B133" s="44"/>
      <c r="C133" s="48"/>
      <c r="D133" s="42"/>
    </row>
    <row r="134" spans="2:4" s="169" customFormat="1" x14ac:dyDescent="0.25">
      <c r="B134" s="44"/>
      <c r="C134" s="51" t="s">
        <v>44</v>
      </c>
      <c r="D134" s="42"/>
    </row>
    <row r="135" spans="2:4" s="169" customFormat="1" ht="30" x14ac:dyDescent="0.25">
      <c r="B135" s="44"/>
      <c r="C135" s="52" t="s">
        <v>45</v>
      </c>
      <c r="D135" s="42"/>
    </row>
    <row r="136" spans="2:4" s="169" customFormat="1" x14ac:dyDescent="0.25">
      <c r="B136" s="44"/>
      <c r="C136" s="52" t="s">
        <v>49</v>
      </c>
      <c r="D136" s="42"/>
    </row>
    <row r="137" spans="2:4" s="169" customFormat="1" ht="30" x14ac:dyDescent="0.25">
      <c r="B137" s="44"/>
      <c r="C137" s="48" t="s">
        <v>288</v>
      </c>
      <c r="D137" s="42"/>
    </row>
    <row r="138" spans="2:4" s="169" customFormat="1" ht="30" x14ac:dyDescent="0.25">
      <c r="B138" s="44"/>
      <c r="C138" s="52" t="s">
        <v>307</v>
      </c>
      <c r="D138" s="42"/>
    </row>
    <row r="139" spans="2:4" s="169" customFormat="1" ht="30" x14ac:dyDescent="0.25">
      <c r="B139" s="44"/>
      <c r="C139" s="48" t="s">
        <v>308</v>
      </c>
      <c r="D139" s="42"/>
    </row>
    <row r="140" spans="2:4" s="169" customFormat="1" x14ac:dyDescent="0.25">
      <c r="B140" s="44"/>
      <c r="C140" s="48"/>
      <c r="D140" s="42"/>
    </row>
    <row r="141" spans="2:4" x14ac:dyDescent="0.25">
      <c r="B141" s="44"/>
      <c r="C141" s="51" t="s">
        <v>54</v>
      </c>
      <c r="D141" s="42"/>
    </row>
    <row r="142" spans="2:4" ht="75" x14ac:dyDescent="0.25">
      <c r="B142" s="44"/>
      <c r="C142" s="48" t="s">
        <v>250</v>
      </c>
      <c r="D142" s="42"/>
    </row>
    <row r="143" spans="2:4" s="169" customFormat="1" x14ac:dyDescent="0.25">
      <c r="B143" s="44"/>
      <c r="C143" s="48"/>
      <c r="D143" s="42"/>
    </row>
    <row r="144" spans="2:4" s="169" customFormat="1" x14ac:dyDescent="0.25">
      <c r="B144" s="44"/>
      <c r="C144" s="51" t="s">
        <v>78</v>
      </c>
      <c r="D144" s="42"/>
    </row>
    <row r="145" spans="2:4" s="169" customFormat="1" ht="30" x14ac:dyDescent="0.25">
      <c r="B145" s="44"/>
      <c r="C145" s="48" t="s">
        <v>53</v>
      </c>
      <c r="D145" s="42"/>
    </row>
    <row r="146" spans="2:4" s="169" customFormat="1" x14ac:dyDescent="0.25">
      <c r="B146" s="44"/>
      <c r="C146" s="48" t="s">
        <v>296</v>
      </c>
      <c r="D146" s="42"/>
    </row>
    <row r="147" spans="2:4" s="169" customFormat="1" x14ac:dyDescent="0.25">
      <c r="B147" s="44"/>
      <c r="C147" s="48"/>
      <c r="D147" s="42"/>
    </row>
    <row r="148" spans="2:4" x14ac:dyDescent="0.25">
      <c r="B148" s="44"/>
      <c r="C148" s="48"/>
      <c r="D148" s="42"/>
    </row>
    <row r="149" spans="2:4" x14ac:dyDescent="0.25">
      <c r="B149" s="44"/>
      <c r="C149" s="49" t="s">
        <v>55</v>
      </c>
      <c r="D149" s="42"/>
    </row>
    <row r="150" spans="2:4" x14ac:dyDescent="0.25">
      <c r="B150" s="44"/>
      <c r="C150" s="51" t="s">
        <v>72</v>
      </c>
      <c r="D150" s="42"/>
    </row>
    <row r="151" spans="2:4" ht="30" x14ac:dyDescent="0.25">
      <c r="B151" s="44"/>
      <c r="C151" s="48" t="s">
        <v>91</v>
      </c>
      <c r="D151" s="42"/>
    </row>
    <row r="152" spans="2:4" x14ac:dyDescent="0.25">
      <c r="B152" s="44"/>
      <c r="C152" s="48" t="s">
        <v>56</v>
      </c>
      <c r="D152" s="42"/>
    </row>
    <row r="153" spans="2:4" x14ac:dyDescent="0.25">
      <c r="B153" s="44"/>
      <c r="C153" s="48" t="s">
        <v>57</v>
      </c>
      <c r="D153" s="42"/>
    </row>
    <row r="154" spans="2:4" x14ac:dyDescent="0.25">
      <c r="B154" s="44"/>
      <c r="C154" s="48"/>
      <c r="D154" s="42"/>
    </row>
    <row r="155" spans="2:4" x14ac:dyDescent="0.25">
      <c r="B155" s="44"/>
      <c r="C155" s="51" t="s">
        <v>76</v>
      </c>
      <c r="D155" s="42"/>
    </row>
    <row r="156" spans="2:4" ht="45" x14ac:dyDescent="0.25">
      <c r="B156" s="44"/>
      <c r="C156" s="48" t="s">
        <v>59</v>
      </c>
      <c r="D156" s="42"/>
    </row>
    <row r="157" spans="2:4" x14ac:dyDescent="0.25">
      <c r="B157" s="44"/>
      <c r="C157" s="48"/>
      <c r="D157" s="42"/>
    </row>
    <row r="158" spans="2:4" collapsed="1" x14ac:dyDescent="0.25">
      <c r="B158" s="44"/>
      <c r="C158" s="51" t="s">
        <v>71</v>
      </c>
      <c r="D158" s="42"/>
    </row>
    <row r="159" spans="2:4" x14ac:dyDescent="0.25">
      <c r="B159" s="44"/>
      <c r="C159" s="48" t="s">
        <v>60</v>
      </c>
      <c r="D159" s="42"/>
    </row>
    <row r="160" spans="2:4" ht="30" x14ac:dyDescent="0.25">
      <c r="B160" s="44"/>
      <c r="C160" s="48" t="s">
        <v>63</v>
      </c>
      <c r="D160" s="42"/>
    </row>
    <row r="161" spans="2:4" ht="45" collapsed="1" x14ac:dyDescent="0.25">
      <c r="B161" s="44"/>
      <c r="C161" s="48" t="s">
        <v>64</v>
      </c>
      <c r="D161" s="42"/>
    </row>
    <row r="162" spans="2:4" ht="30" collapsed="1" x14ac:dyDescent="0.25">
      <c r="B162" s="44"/>
      <c r="C162" s="48" t="s">
        <v>65</v>
      </c>
      <c r="D162" s="42"/>
    </row>
    <row r="163" spans="2:4" ht="30" x14ac:dyDescent="0.25">
      <c r="B163" s="44"/>
      <c r="C163" s="48" t="s">
        <v>66</v>
      </c>
      <c r="D163" s="42"/>
    </row>
    <row r="164" spans="2:4" ht="30" x14ac:dyDescent="0.25">
      <c r="B164" s="44"/>
      <c r="C164" s="48" t="s">
        <v>62</v>
      </c>
      <c r="D164" s="42"/>
    </row>
    <row r="165" spans="2:4" x14ac:dyDescent="0.25">
      <c r="B165" s="44"/>
      <c r="C165" s="48"/>
      <c r="D165" s="42"/>
    </row>
    <row r="166" spans="2:4" x14ac:dyDescent="0.25">
      <c r="B166" s="44"/>
      <c r="C166" s="48"/>
      <c r="D166" s="42"/>
    </row>
    <row r="167" spans="2:4" x14ac:dyDescent="0.25">
      <c r="B167" s="44"/>
      <c r="C167" s="49" t="s">
        <v>67</v>
      </c>
      <c r="D167" s="42"/>
    </row>
    <row r="168" spans="2:4" x14ac:dyDescent="0.25">
      <c r="B168" s="44"/>
      <c r="C168" s="51" t="s">
        <v>72</v>
      </c>
      <c r="D168" s="42"/>
    </row>
    <row r="169" spans="2:4" ht="30" x14ac:dyDescent="0.25">
      <c r="B169" s="44"/>
      <c r="C169" s="48" t="s">
        <v>68</v>
      </c>
      <c r="D169" s="42"/>
    </row>
    <row r="170" spans="2:4" x14ac:dyDescent="0.25">
      <c r="B170" s="44"/>
      <c r="C170" s="48"/>
      <c r="D170" s="42"/>
    </row>
    <row r="171" spans="2:4" x14ac:dyDescent="0.25">
      <c r="B171" s="44"/>
      <c r="C171" s="51" t="s">
        <v>77</v>
      </c>
      <c r="D171" s="42"/>
    </row>
    <row r="172" spans="2:4" x14ac:dyDescent="0.25">
      <c r="B172" s="44"/>
      <c r="C172" s="48" t="s">
        <v>70</v>
      </c>
      <c r="D172" s="42"/>
    </row>
    <row r="173" spans="2:4" ht="30" x14ac:dyDescent="0.25">
      <c r="B173" s="44"/>
      <c r="C173" s="48" t="s">
        <v>75</v>
      </c>
      <c r="D173" s="42"/>
    </row>
    <row r="174" spans="2:4" ht="30" x14ac:dyDescent="0.25">
      <c r="B174" s="44"/>
      <c r="C174" s="48" t="s">
        <v>148</v>
      </c>
      <c r="D174" s="42"/>
    </row>
    <row r="175" spans="2:4" x14ac:dyDescent="0.25">
      <c r="B175" s="44"/>
      <c r="C175" s="48"/>
      <c r="D175" s="42"/>
    </row>
    <row r="176" spans="2:4" x14ac:dyDescent="0.25">
      <c r="B176" s="44"/>
      <c r="C176" s="48"/>
      <c r="D176" s="42"/>
    </row>
    <row r="177" spans="2:4" x14ac:dyDescent="0.25">
      <c r="B177" s="44"/>
      <c r="C177" s="49" t="s">
        <v>158</v>
      </c>
      <c r="D177" s="42"/>
    </row>
    <row r="178" spans="2:4" x14ac:dyDescent="0.25">
      <c r="B178" s="44"/>
      <c r="C178" s="51" t="s">
        <v>72</v>
      </c>
      <c r="D178" s="42"/>
    </row>
    <row r="179" spans="2:4" ht="30" x14ac:dyDescent="0.25">
      <c r="B179" s="44"/>
      <c r="C179" s="48" t="s">
        <v>152</v>
      </c>
      <c r="D179" s="42"/>
    </row>
    <row r="180" spans="2:4" x14ac:dyDescent="0.25">
      <c r="B180" s="44"/>
      <c r="C180" s="48"/>
      <c r="D180" s="42"/>
    </row>
    <row r="181" spans="2:4" x14ac:dyDescent="0.25">
      <c r="B181" s="44"/>
      <c r="C181" s="51" t="s">
        <v>151</v>
      </c>
      <c r="D181" s="42"/>
    </row>
    <row r="182" spans="2:4" ht="30" x14ac:dyDescent="0.25">
      <c r="B182" s="44"/>
      <c r="C182" s="48" t="s">
        <v>154</v>
      </c>
      <c r="D182" s="42"/>
    </row>
    <row r="183" spans="2:4" ht="45" x14ac:dyDescent="0.25">
      <c r="B183" s="44"/>
      <c r="C183" s="48" t="s">
        <v>155</v>
      </c>
      <c r="D183" s="42"/>
    </row>
    <row r="184" spans="2:4" ht="30" x14ac:dyDescent="0.25">
      <c r="B184" s="44"/>
      <c r="C184" s="48" t="s">
        <v>167</v>
      </c>
      <c r="D184" s="42"/>
    </row>
    <row r="185" spans="2:4" ht="30" x14ac:dyDescent="0.25">
      <c r="B185" s="44"/>
      <c r="C185" s="48" t="s">
        <v>153</v>
      </c>
      <c r="D185" s="42"/>
    </row>
    <row r="186" spans="2:4" x14ac:dyDescent="0.25">
      <c r="B186" s="44"/>
      <c r="C186" s="48"/>
      <c r="D186" s="42"/>
    </row>
    <row r="187" spans="2:4" x14ac:dyDescent="0.25">
      <c r="B187" s="44"/>
      <c r="C187" s="51" t="s">
        <v>159</v>
      </c>
      <c r="D187" s="42"/>
    </row>
    <row r="188" spans="2:4" ht="60" x14ac:dyDescent="0.25">
      <c r="B188" s="44"/>
      <c r="C188" s="48" t="s">
        <v>309</v>
      </c>
      <c r="D188" s="42"/>
    </row>
    <row r="189" spans="2:4" ht="60" x14ac:dyDescent="0.25">
      <c r="B189" s="44"/>
      <c r="C189" s="48" t="s">
        <v>156</v>
      </c>
      <c r="D189" s="42"/>
    </row>
    <row r="190" spans="2:4" x14ac:dyDescent="0.25">
      <c r="B190" s="44"/>
      <c r="C190" s="48"/>
      <c r="D190" s="42"/>
    </row>
    <row r="191" spans="2:4" x14ac:dyDescent="0.25">
      <c r="B191" s="44"/>
      <c r="C191" s="48"/>
      <c r="D191" s="42"/>
    </row>
    <row r="192" spans="2:4" x14ac:dyDescent="0.25">
      <c r="B192" s="44"/>
      <c r="C192" s="49" t="s">
        <v>251</v>
      </c>
      <c r="D192" s="42"/>
    </row>
    <row r="193" spans="2:4" x14ac:dyDescent="0.25">
      <c r="B193" s="44"/>
      <c r="C193" s="51" t="s">
        <v>72</v>
      </c>
      <c r="D193" s="42"/>
    </row>
    <row r="194" spans="2:4" ht="30" x14ac:dyDescent="0.25">
      <c r="B194" s="44"/>
      <c r="C194" s="48" t="s">
        <v>310</v>
      </c>
      <c r="D194" s="42"/>
    </row>
    <row r="195" spans="2:4" x14ac:dyDescent="0.25">
      <c r="B195" s="44"/>
      <c r="C195" s="48" t="s">
        <v>253</v>
      </c>
      <c r="D195" s="42"/>
    </row>
    <row r="196" spans="2:4" x14ac:dyDescent="0.25">
      <c r="B196" s="44"/>
      <c r="C196" s="48" t="s">
        <v>254</v>
      </c>
      <c r="D196" s="42"/>
    </row>
    <row r="197" spans="2:4" x14ac:dyDescent="0.25">
      <c r="B197" s="44"/>
      <c r="C197" s="48"/>
      <c r="D197" s="42"/>
    </row>
    <row r="198" spans="2:4" x14ac:dyDescent="0.25">
      <c r="B198" s="44"/>
      <c r="C198" s="51" t="s">
        <v>255</v>
      </c>
      <c r="D198" s="42"/>
    </row>
    <row r="199" spans="2:4" x14ac:dyDescent="0.25">
      <c r="B199" s="44"/>
      <c r="C199" s="48" t="s">
        <v>256</v>
      </c>
      <c r="D199" s="42"/>
    </row>
    <row r="200" spans="2:4" x14ac:dyDescent="0.25">
      <c r="B200" s="44"/>
      <c r="C200" s="48"/>
      <c r="D200" s="42"/>
    </row>
    <row r="201" spans="2:4" x14ac:dyDescent="0.25">
      <c r="B201" s="44"/>
      <c r="C201" s="48"/>
      <c r="D201" s="42"/>
    </row>
    <row r="202" spans="2:4" x14ac:dyDescent="0.25">
      <c r="B202" s="44"/>
      <c r="C202" s="48"/>
      <c r="D202" s="42"/>
    </row>
    <row r="203" spans="2:4" x14ac:dyDescent="0.25">
      <c r="B203" s="44"/>
      <c r="C203" s="48"/>
      <c r="D203" s="42"/>
    </row>
    <row r="204" spans="2:4" x14ac:dyDescent="0.25">
      <c r="B204" s="44"/>
      <c r="C204" s="48"/>
      <c r="D204" s="42"/>
    </row>
    <row r="205" spans="2:4" x14ac:dyDescent="0.25">
      <c r="B205" s="44"/>
      <c r="C205" s="48"/>
      <c r="D205" s="42"/>
    </row>
    <row r="206" spans="2:4" x14ac:dyDescent="0.25">
      <c r="B206" s="44"/>
      <c r="C206" s="48"/>
      <c r="D206" s="42"/>
    </row>
    <row r="207" spans="2:4" x14ac:dyDescent="0.25">
      <c r="B207" s="44"/>
      <c r="C207" s="48"/>
      <c r="D207" s="42"/>
    </row>
    <row r="208" spans="2:4" x14ac:dyDescent="0.25">
      <c r="B208" s="44"/>
      <c r="C208" s="48"/>
      <c r="D208" s="42"/>
    </row>
    <row r="209" spans="2:4" x14ac:dyDescent="0.25">
      <c r="B209" s="44"/>
      <c r="C209" s="48"/>
      <c r="D209" s="42"/>
    </row>
    <row r="210" spans="2:4" x14ac:dyDescent="0.25">
      <c r="B210" s="44"/>
      <c r="C210" s="48"/>
      <c r="D210" s="42"/>
    </row>
    <row r="211" spans="2:4" x14ac:dyDescent="0.25">
      <c r="B211" s="44"/>
      <c r="C211" s="48"/>
      <c r="D211" s="42"/>
    </row>
    <row r="212" spans="2:4" x14ac:dyDescent="0.25">
      <c r="B212" s="44"/>
      <c r="C212" s="48"/>
      <c r="D212" s="42"/>
    </row>
    <row r="213" spans="2:4" x14ac:dyDescent="0.25">
      <c r="B213" s="44"/>
      <c r="C213" s="48"/>
      <c r="D213" s="42"/>
    </row>
    <row r="214" spans="2:4" x14ac:dyDescent="0.25">
      <c r="B214" s="44"/>
      <c r="C214" s="48"/>
      <c r="D214" s="42"/>
    </row>
    <row r="215" spans="2:4" x14ac:dyDescent="0.25">
      <c r="B215" s="44"/>
      <c r="C215" s="48"/>
      <c r="D215" s="42"/>
    </row>
    <row r="216" spans="2:4" x14ac:dyDescent="0.25">
      <c r="B216" s="44"/>
      <c r="C216" s="48"/>
      <c r="D216" s="42"/>
    </row>
    <row r="217" spans="2:4" x14ac:dyDescent="0.25">
      <c r="B217" s="44"/>
      <c r="C217" s="48"/>
      <c r="D217" s="42"/>
    </row>
    <row r="218" spans="2:4" x14ac:dyDescent="0.25">
      <c r="B218" s="44"/>
      <c r="C218" s="48"/>
      <c r="D218" s="42"/>
    </row>
    <row r="219" spans="2:4" x14ac:dyDescent="0.25">
      <c r="B219" s="44"/>
      <c r="C219" s="48"/>
      <c r="D219" s="42"/>
    </row>
    <row r="220" spans="2:4" x14ac:dyDescent="0.25">
      <c r="B220" s="44"/>
      <c r="C220" s="48"/>
      <c r="D220" s="42"/>
    </row>
    <row r="221" spans="2:4" x14ac:dyDescent="0.25">
      <c r="B221" s="44"/>
      <c r="C221" s="48"/>
      <c r="D221" s="42"/>
    </row>
    <row r="222" spans="2:4" x14ac:dyDescent="0.25">
      <c r="B222" s="44"/>
      <c r="C222" s="48"/>
      <c r="D222" s="42"/>
    </row>
    <row r="223" spans="2:4" x14ac:dyDescent="0.25">
      <c r="B223" s="44"/>
      <c r="C223" s="48"/>
      <c r="D223" s="42"/>
    </row>
    <row r="224" spans="2:4" x14ac:dyDescent="0.25">
      <c r="B224" s="44"/>
      <c r="C224" s="48"/>
      <c r="D224" s="42"/>
    </row>
    <row r="225" spans="2:4" x14ac:dyDescent="0.25">
      <c r="B225" s="44"/>
      <c r="C225" s="48"/>
      <c r="D225" s="42"/>
    </row>
    <row r="226" spans="2:4" x14ac:dyDescent="0.25">
      <c r="B226" s="44"/>
      <c r="C226" s="48"/>
      <c r="D226" s="42"/>
    </row>
    <row r="227" spans="2:4" x14ac:dyDescent="0.25">
      <c r="B227" s="44"/>
      <c r="C227" s="48"/>
      <c r="D227" s="42"/>
    </row>
    <row r="228" spans="2:4" x14ac:dyDescent="0.25">
      <c r="B228" s="44"/>
      <c r="C228" s="48"/>
      <c r="D228" s="42"/>
    </row>
    <row r="229" spans="2:4" x14ac:dyDescent="0.25">
      <c r="B229" s="46"/>
      <c r="C229" s="53"/>
      <c r="D229" s="43"/>
    </row>
    <row r="230" spans="2:4" x14ac:dyDescent="0.25">
      <c r="C230" s="48"/>
    </row>
    <row r="231" spans="2:4" x14ac:dyDescent="0.25">
      <c r="C231" s="48"/>
    </row>
    <row r="232" spans="2:4" x14ac:dyDescent="0.25">
      <c r="C232" s="48"/>
    </row>
  </sheetData>
  <hyperlinks>
    <hyperlink ref="C30" location="Handleiding!B190" display="Tabblad FTG"/>
    <hyperlink ref="C33" location="Handleiding!A210" display="Tabblad Bevindingen"/>
    <hyperlink ref="C26" location="Handleiding!B175" display="Tabblad LTG"/>
    <hyperlink ref="C11" location="Handleiding!B70" display="Tabblad EVT"/>
    <hyperlink ref="C37" location="Handleiding!B210" display="Tabblad DOD"/>
    <hyperlink ref="C18" location="Handleiding!B119" display="Tabblad TestGraaf"/>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x14ac:dyDescent="0.25"/>
  <cols>
    <col min="1" max="2" width="9.140625" style="89"/>
    <col min="3" max="3" width="18.7109375" customWidth="1"/>
    <col min="4" max="10" width="3.7109375" bestFit="1" customWidth="1"/>
  </cols>
  <sheetData>
    <row r="2" spans="3:12" s="89" customFormat="1" x14ac:dyDescent="0.25"/>
    <row r="3" spans="3:12" s="89" customFormat="1" ht="18" x14ac:dyDescent="0.25">
      <c r="C3" s="23" t="s">
        <v>178</v>
      </c>
    </row>
    <row r="4" spans="3:12" s="89" customFormat="1" x14ac:dyDescent="0.25"/>
    <row r="5" spans="3:12" s="89" customFormat="1" x14ac:dyDescent="0.25"/>
    <row r="6" spans="3:12" s="89" customFormat="1" x14ac:dyDescent="0.25"/>
    <row r="7" spans="3:12" s="89" customFormat="1" x14ac:dyDescent="0.25"/>
    <row r="9" spans="3:12" ht="124.5" x14ac:dyDescent="0.25">
      <c r="C9" s="64" t="s">
        <v>175</v>
      </c>
      <c r="D9" s="96" t="s">
        <v>191</v>
      </c>
      <c r="E9" s="96" t="s">
        <v>88</v>
      </c>
      <c r="F9" s="96" t="s">
        <v>192</v>
      </c>
      <c r="G9" s="96" t="s">
        <v>177</v>
      </c>
      <c r="H9" s="96" t="s">
        <v>193</v>
      </c>
      <c r="I9" s="96" t="s">
        <v>135</v>
      </c>
      <c r="J9" s="97" t="s">
        <v>176</v>
      </c>
      <c r="K9" s="98" t="s">
        <v>194</v>
      </c>
      <c r="L9" s="98" t="s">
        <v>195</v>
      </c>
    </row>
    <row r="10" spans="3:12" x14ac:dyDescent="0.25">
      <c r="C10" s="7" t="s">
        <v>186</v>
      </c>
      <c r="D10" s="93">
        <v>1</v>
      </c>
      <c r="E10" s="93">
        <v>6</v>
      </c>
      <c r="F10" s="93">
        <v>2</v>
      </c>
      <c r="G10" s="93">
        <v>16</v>
      </c>
      <c r="H10" s="93">
        <v>2</v>
      </c>
      <c r="I10" s="93">
        <v>6</v>
      </c>
      <c r="J10" s="93">
        <v>8</v>
      </c>
      <c r="K10" s="99">
        <f>GETPIVOTDATA("Bevindingen",$C$9,"Functionele onderdeel","Distributie")/GETPIVOTDATA("Logische teststappen",$C$9,"Functionele onderdeel","Distributie")</f>
        <v>0.375</v>
      </c>
      <c r="L10" s="99">
        <f>GETPIVOTDATA("Bevindingen",$C$9,"Functionele onderdeel","Distributie")/GETPIVOTDATA("Complexiteit",$C$9,"Functionele onderdeel","Distributie")</f>
        <v>0.75</v>
      </c>
    </row>
    <row r="11" spans="3:12" x14ac:dyDescent="0.25">
      <c r="C11" s="7" t="s">
        <v>160</v>
      </c>
      <c r="D11" s="93">
        <v>3</v>
      </c>
      <c r="E11" s="93">
        <v>6</v>
      </c>
      <c r="F11" s="93">
        <v>10</v>
      </c>
      <c r="G11" s="93">
        <v>16</v>
      </c>
      <c r="H11" s="93">
        <v>2</v>
      </c>
      <c r="I11" s="93">
        <v>3</v>
      </c>
      <c r="J11" s="93">
        <v>3</v>
      </c>
      <c r="K11" s="99">
        <f>GETPIVOTDATA("Bevindingen",$C$9,"Functionele onderdeel","Receptverwerking")/GETPIVOTDATA("Logische teststappen",$C$9,"Functionele onderdeel","Receptverwerking")</f>
        <v>0.1875</v>
      </c>
      <c r="L11" s="99">
        <f>GETPIVOTDATA("Bevindingen",$C$9,"Functionele onderdeel","Receptverwerking")/GETPIVOTDATA("Complexiteit",$C$9,"Functionele onderdeel","Receptverwerking")</f>
        <v>1</v>
      </c>
    </row>
    <row r="12" spans="3:12" x14ac:dyDescent="0.25">
      <c r="C12" s="7" t="s">
        <v>183</v>
      </c>
      <c r="D12" s="93">
        <v>2</v>
      </c>
      <c r="E12" s="93">
        <v>6</v>
      </c>
      <c r="F12" s="93">
        <v>5</v>
      </c>
      <c r="G12" s="93">
        <v>16</v>
      </c>
      <c r="H12" s="93">
        <v>2</v>
      </c>
      <c r="I12" s="93">
        <v>4</v>
      </c>
      <c r="J12" s="93">
        <v>2</v>
      </c>
      <c r="K12" s="99">
        <f>GETPIVOTDATA("Bevindingen",$C$9,"Functionele onderdeel","Medicatiebewaking")/GETPIVOTDATA("Logische teststappen",$C$9,"Functionele onderdeel","Medicatiebewaking")</f>
        <v>0.25</v>
      </c>
      <c r="L12" s="99">
        <f>GETPIVOTDATA("Bevindingen",$C$9,"Functionele onderdeel","Medicatiebewaking")/GETPIVOTDATA("Complexiteit",$C$9,"Functionele onderdeel","Medicatiebewaking")</f>
        <v>2</v>
      </c>
    </row>
    <row r="13" spans="3:12" x14ac:dyDescent="0.25">
      <c r="C13" s="94" t="s">
        <v>86</v>
      </c>
      <c r="D13" s="95">
        <v>6</v>
      </c>
      <c r="E13" s="95">
        <v>18</v>
      </c>
      <c r="F13" s="95">
        <v>17</v>
      </c>
      <c r="G13" s="95">
        <v>48</v>
      </c>
      <c r="H13" s="95">
        <v>6</v>
      </c>
      <c r="I13" s="95">
        <v>13</v>
      </c>
      <c r="J13" s="95">
        <v>13</v>
      </c>
      <c r="K13" s="18">
        <f>SUM(K10:K12)/3</f>
        <v>0.27083333333333331</v>
      </c>
      <c r="L13" s="18">
        <f>SUM(L10:L12)/3</f>
        <v>1.25</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4:E19"/>
  <sheetViews>
    <sheetView showGridLines="0" topLeftCell="A10" workbookViewId="0">
      <selection activeCell="C18" sqref="C18"/>
    </sheetView>
  </sheetViews>
  <sheetFormatPr defaultRowHeight="15" x14ac:dyDescent="0.25"/>
  <cols>
    <col min="2" max="2" width="8.7109375" customWidth="1"/>
    <col min="3" max="3" width="47.7109375" style="12" customWidth="1"/>
    <col min="4" max="4" width="25" customWidth="1"/>
    <col min="5" max="5" width="12.85546875" customWidth="1"/>
  </cols>
  <sheetData>
    <row r="4" spans="2:5" ht="18" x14ac:dyDescent="0.25">
      <c r="B4" s="55" t="s">
        <v>83</v>
      </c>
    </row>
    <row r="8" spans="2:5" x14ac:dyDescent="0.25">
      <c r="B8" s="18" t="s">
        <v>81</v>
      </c>
      <c r="C8" s="56" t="s">
        <v>20</v>
      </c>
      <c r="D8" s="18" t="s">
        <v>80</v>
      </c>
      <c r="E8" s="18" t="s">
        <v>26</v>
      </c>
    </row>
    <row r="9" spans="2:5" ht="75" x14ac:dyDescent="0.25">
      <c r="B9" s="77" t="s">
        <v>190</v>
      </c>
      <c r="C9" s="13" t="s">
        <v>147</v>
      </c>
      <c r="D9" s="77" t="s">
        <v>82</v>
      </c>
      <c r="E9" s="78">
        <v>40645</v>
      </c>
    </row>
    <row r="10" spans="2:5" s="70" customFormat="1" ht="45" x14ac:dyDescent="0.25">
      <c r="B10" s="77" t="s">
        <v>149</v>
      </c>
      <c r="C10" s="71" t="s">
        <v>150</v>
      </c>
      <c r="D10" s="77" t="s">
        <v>82</v>
      </c>
      <c r="E10" s="78">
        <v>40647</v>
      </c>
    </row>
    <row r="11" spans="2:5" s="70" customFormat="1" ht="45" x14ac:dyDescent="0.25">
      <c r="B11" s="77" t="s">
        <v>188</v>
      </c>
      <c r="C11" s="91" t="s">
        <v>189</v>
      </c>
      <c r="D11" s="77" t="s">
        <v>82</v>
      </c>
      <c r="E11" s="78">
        <v>40652</v>
      </c>
    </row>
    <row r="12" spans="2:5" s="102" customFormat="1" ht="30" x14ac:dyDescent="0.25">
      <c r="B12" s="77" t="s">
        <v>207</v>
      </c>
      <c r="C12" s="105" t="s">
        <v>209</v>
      </c>
      <c r="D12" s="77" t="s">
        <v>82</v>
      </c>
      <c r="E12" s="78">
        <v>40676</v>
      </c>
    </row>
    <row r="13" spans="2:5" s="102" customFormat="1" ht="45" x14ac:dyDescent="0.25">
      <c r="B13" s="77" t="s">
        <v>208</v>
      </c>
      <c r="C13" s="105" t="s">
        <v>211</v>
      </c>
      <c r="D13" s="77" t="s">
        <v>82</v>
      </c>
      <c r="E13" s="78">
        <v>40717</v>
      </c>
    </row>
    <row r="14" spans="2:5" ht="30" x14ac:dyDescent="0.25">
      <c r="B14" s="128" t="s">
        <v>219</v>
      </c>
      <c r="C14" s="40" t="s">
        <v>220</v>
      </c>
      <c r="D14" s="77" t="s">
        <v>82</v>
      </c>
      <c r="E14" s="129">
        <v>40791</v>
      </c>
    </row>
    <row r="15" spans="2:5" ht="30" x14ac:dyDescent="0.25">
      <c r="B15" s="128" t="s">
        <v>322</v>
      </c>
      <c r="C15" s="40" t="s">
        <v>324</v>
      </c>
      <c r="D15" s="77" t="s">
        <v>82</v>
      </c>
      <c r="E15" s="129">
        <v>40828</v>
      </c>
    </row>
    <row r="16" spans="2:5" ht="30" x14ac:dyDescent="0.25">
      <c r="B16" s="128" t="s">
        <v>323</v>
      </c>
      <c r="C16" s="40" t="s">
        <v>325</v>
      </c>
      <c r="D16" s="77" t="s">
        <v>82</v>
      </c>
      <c r="E16" s="129">
        <v>41029</v>
      </c>
    </row>
    <row r="17" spans="2:5" ht="45" x14ac:dyDescent="0.25">
      <c r="B17" s="128" t="s">
        <v>326</v>
      </c>
      <c r="C17" s="40" t="s">
        <v>328</v>
      </c>
      <c r="D17" s="77" t="s">
        <v>82</v>
      </c>
      <c r="E17" s="129">
        <v>41070</v>
      </c>
    </row>
    <row r="18" spans="2:5" ht="30" x14ac:dyDescent="0.25">
      <c r="B18" s="128" t="s">
        <v>168</v>
      </c>
      <c r="C18" s="40" t="s">
        <v>327</v>
      </c>
      <c r="D18" s="77" t="s">
        <v>82</v>
      </c>
      <c r="E18" s="129">
        <v>41164</v>
      </c>
    </row>
    <row r="19" spans="2:5" x14ac:dyDescent="0.25">
      <c r="E19" s="18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Basis</vt:lpstr>
      <vt:lpstr>Algemeen</vt:lpstr>
      <vt:lpstr>EVT</vt:lpstr>
      <vt:lpstr>TestGraaf</vt:lpstr>
      <vt:lpstr>LTG</vt:lpstr>
      <vt:lpstr>FTG</vt:lpstr>
      <vt:lpstr>DOD</vt:lpstr>
      <vt:lpstr>Bevindingen</vt:lpstr>
      <vt:lpstr>Metrieken</vt:lpstr>
      <vt:lpstr>Rapport</vt:lpstr>
      <vt:lpstr>Handleiding</vt:lpstr>
      <vt:lpstr>Analyse</vt:lpstr>
      <vt:lpstr>Versie</vt:lpstr>
      <vt:lpstr>Handleiding!Print_Area</vt:lpstr>
    </vt:vector>
  </TitlesOfParts>
  <Company>Microbais Automatisering B.V.</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2012-12-08T13:41:37Z</dcterms:modified>
</cp:coreProperties>
</file>